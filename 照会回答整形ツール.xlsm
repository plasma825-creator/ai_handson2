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jm\jm\nkobashi\windows\Downloads\"/>
    </mc:Choice>
  </mc:AlternateContent>
  <xr:revisionPtr revIDLastSave="0" documentId="13_ncr:1_{68C045D2-6272-4190-9D96-5A7D5AECDEB4}" xr6:coauthVersionLast="47" xr6:coauthVersionMax="47" xr10:uidLastSave="{00000000-0000-0000-0000-000000000000}"/>
  <bookViews>
    <workbookView xWindow="7920" yWindow="4410" windowWidth="28800" windowHeight="15345" activeTab="7" xr2:uid="{00000000-000D-0000-FFFF-FFFF00000000}"/>
  </bookViews>
  <sheets>
    <sheet name="memo" sheetId="1" r:id="rId1"/>
    <sheet name="raw" sheetId="2" r:id="rId2"/>
    <sheet name="dmap" sheetId="3" r:id="rId3"/>
    <sheet name="cmap" sheetId="4" r:id="rId4"/>
    <sheet name="w_a" sheetId="5" r:id="rId5"/>
    <sheet name="w_b" sheetId="6" state="hidden" r:id="rId6"/>
    <sheet name="out" sheetId="7" r:id="rId7"/>
    <sheet name="log" sheetId="8" r:id="rId8"/>
    <sheet name="old" sheetId="9" state="hidden" r:id="rId9"/>
  </sheets>
  <functionGroups builtInGroupCount="19"/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31" i="6" l="1"/>
  <c r="J31" i="6"/>
  <c r="I31" i="6"/>
  <c r="H31" i="6"/>
  <c r="D31" i="6"/>
  <c r="C31" i="6"/>
  <c r="B31" i="6"/>
  <c r="A31" i="6"/>
  <c r="L31" i="6" s="1"/>
  <c r="K30" i="6"/>
  <c r="J30" i="6"/>
  <c r="I30" i="6"/>
  <c r="H30" i="6"/>
  <c r="D30" i="6"/>
  <c r="C30" i="6"/>
  <c r="B30" i="6"/>
  <c r="A30" i="6"/>
  <c r="L30" i="6" s="1"/>
  <c r="K29" i="6"/>
  <c r="J29" i="6"/>
  <c r="I29" i="6"/>
  <c r="H29" i="6"/>
  <c r="D29" i="6"/>
  <c r="C29" i="6"/>
  <c r="B29" i="6"/>
  <c r="A29" i="6"/>
  <c r="L29" i="6" s="1"/>
  <c r="K28" i="6"/>
  <c r="J28" i="6"/>
  <c r="I28" i="6"/>
  <c r="H28" i="6"/>
  <c r="D28" i="6"/>
  <c r="C28" i="6"/>
  <c r="B28" i="6"/>
  <c r="A28" i="6"/>
  <c r="L28" i="6" s="1"/>
  <c r="K27" i="6"/>
  <c r="J27" i="6"/>
  <c r="I27" i="6"/>
  <c r="H27" i="6"/>
  <c r="D27" i="6"/>
  <c r="C27" i="6"/>
  <c r="B27" i="6"/>
  <c r="A27" i="6"/>
  <c r="L27" i="6" s="1"/>
  <c r="K26" i="6"/>
  <c r="J26" i="6"/>
  <c r="I26" i="6"/>
  <c r="H26" i="6"/>
  <c r="D26" i="6"/>
  <c r="C26" i="6"/>
  <c r="B26" i="6"/>
  <c r="A26" i="6"/>
  <c r="L26" i="6" s="1"/>
  <c r="K25" i="6"/>
  <c r="J25" i="6"/>
  <c r="I25" i="6"/>
  <c r="H25" i="6"/>
  <c r="D25" i="6"/>
  <c r="C25" i="6"/>
  <c r="B25" i="6"/>
  <c r="A25" i="6"/>
  <c r="L25" i="6" s="1"/>
  <c r="K24" i="6"/>
  <c r="J24" i="6"/>
  <c r="I24" i="6"/>
  <c r="H24" i="6"/>
  <c r="D24" i="6"/>
  <c r="C24" i="6"/>
  <c r="B24" i="6"/>
  <c r="A24" i="6"/>
  <c r="L24" i="6" s="1"/>
  <c r="K23" i="6"/>
  <c r="J23" i="6"/>
  <c r="I23" i="6"/>
  <c r="H23" i="6"/>
  <c r="D23" i="6"/>
  <c r="C23" i="6"/>
  <c r="B23" i="6"/>
  <c r="A23" i="6"/>
  <c r="L23" i="6" s="1"/>
  <c r="K22" i="6"/>
  <c r="J22" i="6"/>
  <c r="I22" i="6"/>
  <c r="H22" i="6"/>
  <c r="D22" i="6"/>
  <c r="C22" i="6"/>
  <c r="B22" i="6"/>
  <c r="A22" i="6"/>
  <c r="L22" i="6" s="1"/>
  <c r="K21" i="6"/>
  <c r="J21" i="6"/>
  <c r="I21" i="6"/>
  <c r="H21" i="6"/>
  <c r="D21" i="6"/>
  <c r="C21" i="6"/>
  <c r="B21" i="6"/>
  <c r="A21" i="6"/>
  <c r="L21" i="6" s="1"/>
  <c r="K20" i="6"/>
  <c r="J20" i="6"/>
  <c r="I20" i="6"/>
  <c r="H20" i="6"/>
  <c r="D20" i="6"/>
  <c r="C20" i="6"/>
  <c r="B20" i="6"/>
  <c r="A20" i="6"/>
  <c r="L20" i="6" s="1"/>
  <c r="K19" i="6"/>
  <c r="J19" i="6"/>
  <c r="I19" i="6"/>
  <c r="H19" i="6"/>
  <c r="D19" i="6"/>
  <c r="C19" i="6"/>
  <c r="B19" i="6"/>
  <c r="A19" i="6"/>
  <c r="L19" i="6" s="1"/>
  <c r="K18" i="6"/>
  <c r="J18" i="6"/>
  <c r="I18" i="6"/>
  <c r="H18" i="6"/>
  <c r="D18" i="6"/>
  <c r="C18" i="6"/>
  <c r="B18" i="6"/>
  <c r="A18" i="6"/>
  <c r="L18" i="6" s="1"/>
  <c r="K17" i="6"/>
  <c r="J17" i="6"/>
  <c r="I17" i="6"/>
  <c r="H17" i="6"/>
  <c r="D17" i="6"/>
  <c r="C17" i="6"/>
  <c r="B17" i="6"/>
  <c r="A17" i="6"/>
  <c r="L17" i="6" s="1"/>
  <c r="K16" i="6"/>
  <c r="J16" i="6"/>
  <c r="I16" i="6"/>
  <c r="H16" i="6"/>
  <c r="D16" i="6"/>
  <c r="C16" i="6"/>
  <c r="B16" i="6"/>
  <c r="A16" i="6"/>
  <c r="L16" i="6" s="1"/>
  <c r="K15" i="6"/>
  <c r="J15" i="6"/>
  <c r="I15" i="6"/>
  <c r="H15" i="6"/>
  <c r="D15" i="6"/>
  <c r="C15" i="6"/>
  <c r="B15" i="6"/>
  <c r="A15" i="6"/>
  <c r="L15" i="6" s="1"/>
  <c r="K14" i="6"/>
  <c r="J14" i="6"/>
  <c r="I14" i="6"/>
  <c r="H14" i="6"/>
  <c r="D14" i="6"/>
  <c r="C14" i="6"/>
  <c r="B14" i="6"/>
  <c r="A14" i="6"/>
  <c r="L14" i="6" s="1"/>
  <c r="K13" i="6"/>
  <c r="J13" i="6"/>
  <c r="I13" i="6"/>
  <c r="H13" i="6"/>
  <c r="D13" i="6"/>
  <c r="C13" i="6"/>
  <c r="B13" i="6"/>
  <c r="A13" i="6"/>
  <c r="L13" i="6" s="1"/>
  <c r="K12" i="6"/>
  <c r="J12" i="6"/>
  <c r="I12" i="6"/>
  <c r="H12" i="6"/>
  <c r="D12" i="6"/>
  <c r="C12" i="6"/>
  <c r="B12" i="6"/>
  <c r="A12" i="6"/>
  <c r="L12" i="6" s="1"/>
  <c r="K11" i="6"/>
  <c r="J11" i="6"/>
  <c r="I11" i="6"/>
  <c r="H11" i="6"/>
  <c r="D11" i="6"/>
  <c r="C11" i="6"/>
  <c r="B11" i="6"/>
  <c r="A11" i="6"/>
  <c r="L11" i="6" s="1"/>
  <c r="K10" i="6"/>
  <c r="J10" i="6"/>
  <c r="I10" i="6"/>
  <c r="H10" i="6"/>
  <c r="D10" i="6"/>
  <c r="C10" i="6"/>
  <c r="B10" i="6"/>
  <c r="A10" i="6"/>
  <c r="L10" i="6" s="1"/>
  <c r="K9" i="6"/>
  <c r="J9" i="6"/>
  <c r="I9" i="6"/>
  <c r="H9" i="6"/>
  <c r="D9" i="6"/>
  <c r="C9" i="6"/>
  <c r="B9" i="6"/>
  <c r="A9" i="6"/>
  <c r="L9" i="6" s="1"/>
  <c r="K8" i="6"/>
  <c r="J8" i="6"/>
  <c r="I8" i="6"/>
  <c r="H8" i="6"/>
  <c r="D8" i="6"/>
  <c r="C8" i="6"/>
  <c r="B8" i="6"/>
  <c r="A8" i="6"/>
  <c r="L8" i="6" s="1"/>
  <c r="K7" i="6"/>
  <c r="J7" i="6"/>
  <c r="I7" i="6"/>
  <c r="H7" i="6"/>
  <c r="D7" i="6"/>
  <c r="C7" i="6"/>
  <c r="B7" i="6"/>
  <c r="A7" i="6"/>
  <c r="L7" i="6" s="1"/>
  <c r="K6" i="6"/>
  <c r="J6" i="6"/>
  <c r="I6" i="6"/>
  <c r="H6" i="6"/>
  <c r="D6" i="6"/>
  <c r="C6" i="6"/>
  <c r="B6" i="6"/>
  <c r="A6" i="6"/>
  <c r="L6" i="6" s="1"/>
  <c r="K5" i="6"/>
  <c r="J5" i="6"/>
  <c r="I5" i="6"/>
  <c r="H5" i="6"/>
  <c r="D5" i="6"/>
  <c r="C5" i="6"/>
  <c r="B5" i="6"/>
  <c r="A5" i="6"/>
  <c r="L5" i="6" s="1"/>
  <c r="K4" i="6"/>
  <c r="J4" i="6"/>
  <c r="I4" i="6"/>
  <c r="H4" i="6"/>
  <c r="D4" i="6"/>
  <c r="C4" i="6"/>
  <c r="B4" i="6"/>
  <c r="A4" i="6"/>
  <c r="L4" i="6" s="1"/>
  <c r="K3" i="6"/>
  <c r="J3" i="6"/>
  <c r="I3" i="6"/>
  <c r="H3" i="6"/>
  <c r="D3" i="6"/>
  <c r="C3" i="6"/>
  <c r="B3" i="6"/>
  <c r="A3" i="6"/>
  <c r="L3" i="6" s="1"/>
  <c r="K2" i="6"/>
  <c r="J2" i="6"/>
  <c r="I2" i="6"/>
  <c r="H2" i="6"/>
  <c r="D2" i="6"/>
  <c r="C2" i="6"/>
  <c r="B2" i="6"/>
  <c r="A2" i="6"/>
  <c r="L2" i="6" s="1"/>
  <c r="E31" i="6" l="1"/>
  <c r="E2" i="6"/>
  <c r="E3" i="6"/>
  <c r="E4" i="6"/>
  <c r="E5" i="6"/>
  <c r="E6" i="6"/>
  <c r="E7" i="6"/>
  <c r="E9" i="6"/>
  <c r="E11" i="6"/>
  <c r="E13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F2" i="6"/>
  <c r="F3" i="6"/>
  <c r="F4" i="6"/>
  <c r="F6" i="6"/>
  <c r="F24" i="6"/>
  <c r="F25" i="6"/>
  <c r="F27" i="6"/>
  <c r="F28" i="6"/>
  <c r="F29" i="6"/>
  <c r="F30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E8" i="6"/>
  <c r="E10" i="6"/>
  <c r="E12" i="6"/>
  <c r="E14" i="6"/>
  <c r="E28" i="6"/>
  <c r="E29" i="6"/>
  <c r="E30" i="6"/>
  <c r="F5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6" i="6"/>
  <c r="F31" i="6"/>
</calcChain>
</file>

<file path=xl/sharedStrings.xml><?xml version="1.0" encoding="utf-8"?>
<sst xmlns="http://schemas.openxmlformats.org/spreadsheetml/2006/main" count="123" uniqueCount="66">
  <si>
    <t>照会回答整形ツール</t>
  </si>
  <si>
    <t>前任者メモ</t>
  </si>
  <si>
    <t>全学照会のForms回答CSVを提出用一覧に整形するための半自動ツールです。</t>
  </si>
  <si>
    <t>マクロだけで完了するものではありません。途中で作業シートの確認・補正が必要です。</t>
  </si>
  <si>
    <t>停止した場合</t>
  </si>
  <si>
    <t>表示されたシートを確認し、空欄を補正してから再実行してください。</t>
  </si>
  <si>
    <t>ID</t>
  </si>
  <si>
    <t>回答日時</t>
  </si>
  <si>
    <t>部署入力</t>
  </si>
  <si>
    <t>回答者</t>
  </si>
  <si>
    <t>回答本文</t>
  </si>
  <si>
    <t>対応状況</t>
  </si>
  <si>
    <t>添付</t>
  </si>
  <si>
    <t>優先度</t>
  </si>
  <si>
    <t>備考</t>
  </si>
  <si>
    <t>内部コード</t>
  </si>
  <si>
    <t>入力部署名</t>
  </si>
  <si>
    <t>統一部署名</t>
  </si>
  <si>
    <t>総務課</t>
  </si>
  <si>
    <t>総務</t>
  </si>
  <si>
    <t>企画課</t>
  </si>
  <si>
    <t>企画係</t>
  </si>
  <si>
    <t>人事課</t>
  </si>
  <si>
    <t>人事係</t>
  </si>
  <si>
    <t>会計課</t>
  </si>
  <si>
    <t>財務課</t>
  </si>
  <si>
    <t>研究推進課</t>
  </si>
  <si>
    <t>研究推進</t>
  </si>
  <si>
    <t>情報社会基盤研究センター事務室</t>
  </si>
  <si>
    <t>共通事務管理課</t>
  </si>
  <si>
    <t>共通事務</t>
  </si>
  <si>
    <t>図書館情報課</t>
  </si>
  <si>
    <t>図書館</t>
  </si>
  <si>
    <t>国際課</t>
  </si>
  <si>
    <t>施設管理課</t>
  </si>
  <si>
    <t>施設</t>
  </si>
  <si>
    <t>判定語</t>
  </si>
  <si>
    <t>回答分類案</t>
  </si>
  <si>
    <t>提出区分案</t>
  </si>
  <si>
    <t>対応済</t>
  </si>
  <si>
    <t>提出</t>
  </si>
  <si>
    <t>完了</t>
  </si>
  <si>
    <t>該当なし</t>
  </si>
  <si>
    <t>除外</t>
  </si>
  <si>
    <t>対象外</t>
  </si>
  <si>
    <t>確認中</t>
  </si>
  <si>
    <t>対応予定</t>
  </si>
  <si>
    <t>未対応</t>
  </si>
  <si>
    <t>統一部署名候補</t>
  </si>
  <si>
    <t>部署確認</t>
  </si>
  <si>
    <t>部署補正状況</t>
  </si>
  <si>
    <t>部署</t>
  </si>
  <si>
    <t>提出判断</t>
  </si>
  <si>
    <t>チェック</t>
  </si>
  <si>
    <t>No</t>
  </si>
  <si>
    <t>回答分類</t>
  </si>
  <si>
    <t>提出区分</t>
  </si>
  <si>
    <t>日時</t>
  </si>
  <si>
    <t>処理</t>
  </si>
  <si>
    <t>件数</t>
  </si>
  <si>
    <t>メモ</t>
  </si>
  <si>
    <t>旧メモ</t>
  </si>
  <si>
    <t>このシートは使用しません。</t>
  </si>
  <si>
    <t>総務G → 総務課</t>
    <phoneticPr fontId="2"/>
  </si>
  <si>
    <t>学生支援 → 学生支援課</t>
    <phoneticPr fontId="2"/>
  </si>
  <si>
    <t>RCIS事務 → 情報社会基盤研究センター事務室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</si>
</sst>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name val="Carlito"/>
    </font>
    <font>
      <sz val="11"/>
      <name val="Carlito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游ゴシック"/>
      <family val="3"/>
      <charset val="128"/>
    </font>
    <font>
      <sz val="11"/>
      <color rgb="FF222222"/>
      <name val="游ゴシック"/>
      <family val="3"/>
      <charset val="128"/>
    </font>
    <font>
      <b/>
      <sz val="16"/>
      <color rgb="FF222222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8064A2"/>
      </patternFill>
    </fill>
    <fill>
      <patternFill patternType="solid">
        <fgColor rgb="FFFFF2CC"/>
      </patternFill>
    </fill>
    <fill>
      <patternFill patternType="solid">
        <fgColor rgb="FF70AD47"/>
      </patternFill>
    </fill>
    <fill>
      <patternFill patternType="solid">
        <fgColor rgb="FF808080"/>
      </patternFill>
    </fill>
    <fill>
      <patternFill patternType="solid">
        <fgColor rgb="FF595959"/>
      </patternFill>
    </fill>
  </fills>
  <borders count="6">
    <border>
      <left/>
      <right/>
      <top/>
      <bottom/>
      <diagonal/>
    </border>
    <border>
      <left/>
      <right/>
      <top/>
      <bottom/>
      <diagonal/>
    </border>
    <border>
      <left style="thin">
        <color rgb="FFD9EAF7"/>
      </left>
      <right style="thin">
        <color rgb="FFD9EAF7"/>
      </right>
      <top style="thin">
        <color rgb="FFD9EAF7"/>
      </top>
      <bottom style="thin">
        <color rgb="FFD9EAF7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0" fillId="0" borderId="0" xfId="0"/>
    <xf numFmtId="0" fontId="3" fillId="0" borderId="1" xfId="0" applyFont="1" applyBorder="1" applyAlignment="1">
      <alignment vertical="center"/>
    </xf>
    <xf numFmtId="0" fontId="3" fillId="0" borderId="1" xfId="1" applyFont="1" applyBorder="1" applyAlignment="1">
      <alignment vertical="center"/>
    </xf>
    <xf numFmtId="0" fontId="4" fillId="2" borderId="2" xfId="1" applyFont="1" applyFill="1" applyBorder="1" applyAlignment="1">
      <alignment vertical="top" wrapText="1"/>
    </xf>
    <xf numFmtId="0" fontId="3" fillId="0" borderId="2" xfId="1" applyFont="1" applyBorder="1" applyAlignment="1">
      <alignment vertical="top" wrapText="1"/>
    </xf>
    <xf numFmtId="0" fontId="4" fillId="3" borderId="2" xfId="1" applyFont="1" applyFill="1" applyBorder="1" applyAlignment="1">
      <alignment vertical="top" wrapText="1"/>
    </xf>
    <xf numFmtId="0" fontId="3" fillId="4" borderId="2" xfId="1" applyFont="1" applyFill="1" applyBorder="1" applyAlignment="1">
      <alignment vertical="top" wrapText="1"/>
    </xf>
    <xf numFmtId="0" fontId="4" fillId="5" borderId="2" xfId="1" applyFont="1" applyFill="1" applyBorder="1" applyAlignment="1">
      <alignment vertical="top" wrapText="1"/>
    </xf>
    <xf numFmtId="0" fontId="4" fillId="6" borderId="2" xfId="1" applyFont="1" applyFill="1" applyBorder="1" applyAlignment="1">
      <alignment vertical="top" wrapText="1"/>
    </xf>
    <xf numFmtId="0" fontId="5" fillId="0" borderId="1" xfId="0" applyFont="1" applyBorder="1" applyAlignment="1">
      <alignment vertical="center" wrapText="1"/>
    </xf>
    <xf numFmtId="0" fontId="4" fillId="7" borderId="3" xfId="1" applyFont="1" applyFill="1" applyBorder="1" applyAlignment="1">
      <alignment vertical="center" wrapText="1"/>
    </xf>
    <xf numFmtId="0" fontId="5" fillId="0" borderId="1" xfId="1" applyFont="1" applyBorder="1" applyAlignment="1">
      <alignment vertical="center" wrapText="1"/>
    </xf>
    <xf numFmtId="0" fontId="0" fillId="0" borderId="0" xfId="0"/>
    <xf numFmtId="0" fontId="5" fillId="0" borderId="3" xfId="1" applyFont="1" applyBorder="1" applyAlignment="1">
      <alignment vertical="center" wrapText="1"/>
    </xf>
    <xf numFmtId="0" fontId="0" fillId="0" borderId="4" xfId="0" applyBorder="1"/>
    <xf numFmtId="0" fontId="0" fillId="0" borderId="5" xfId="0" applyBorder="1"/>
    <xf numFmtId="0" fontId="6" fillId="0" borderId="1" xfId="1" applyFont="1" applyBorder="1" applyAlignment="1">
      <alignment vertical="center" wrapText="1"/>
    </xf>
    <xf numFmtId="0" fontId="0" fillId="0" borderId="0" xfId="0"/>
  </cellXfs>
  <cellStyles count="2">
    <cellStyle name="Normal" xfId="1" xr:uid="{00000000-0005-0000-0000-000001000000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82"/>
  <sheetViews>
    <sheetView showGridLines="0" workbookViewId="0">
      <selection activeCell="A11" sqref="A11"/>
    </sheetView>
  </sheetViews>
  <sheetFormatPr defaultRowHeight="14.25"/>
  <cols>
    <col min="1" max="1" width="18" style="1" customWidth="1"/>
    <col min="2" max="2" width="72" style="1" customWidth="1"/>
    <col min="3" max="6" width="14" style="1" customWidth="1"/>
  </cols>
  <sheetData>
    <row r="1" spans="1:12" ht="21" customHeight="1">
      <c r="A1" s="17" t="s">
        <v>0</v>
      </c>
      <c r="B1" s="18"/>
      <c r="C1" s="18"/>
      <c r="D1" s="18"/>
      <c r="E1" s="18"/>
      <c r="F1" s="18"/>
      <c r="G1" s="10"/>
      <c r="H1" s="10"/>
      <c r="I1" s="2"/>
      <c r="J1" s="2"/>
      <c r="K1" s="2"/>
      <c r="L1" s="2"/>
    </row>
    <row r="2" spans="1:12" ht="21" customHeight="1">
      <c r="A2" s="10"/>
      <c r="B2" s="10"/>
      <c r="C2" s="10"/>
      <c r="D2" s="10"/>
      <c r="E2" s="10"/>
      <c r="F2" s="10"/>
      <c r="G2" s="10"/>
      <c r="H2" s="10"/>
      <c r="I2" s="2"/>
      <c r="J2" s="2"/>
      <c r="K2" s="2"/>
      <c r="L2" s="2"/>
    </row>
    <row r="3" spans="1:12" ht="21" customHeight="1">
      <c r="A3" s="11" t="s">
        <v>1</v>
      </c>
      <c r="B3" s="12"/>
      <c r="C3" s="10"/>
      <c r="D3" s="10"/>
      <c r="E3" s="10"/>
      <c r="F3" s="10"/>
      <c r="G3" s="10"/>
      <c r="H3" s="10"/>
      <c r="I3" s="2"/>
      <c r="J3" s="2"/>
      <c r="K3" s="2"/>
      <c r="L3" s="2"/>
    </row>
    <row r="4" spans="1:12" ht="21" customHeight="1">
      <c r="A4" s="14" t="s">
        <v>2</v>
      </c>
      <c r="B4" s="15"/>
      <c r="C4" s="15"/>
      <c r="D4" s="15"/>
      <c r="E4" s="15"/>
      <c r="F4" s="16"/>
      <c r="G4" s="10"/>
      <c r="H4" s="10"/>
      <c r="I4" s="2"/>
      <c r="J4" s="2"/>
      <c r="K4" s="2"/>
      <c r="L4" s="2"/>
    </row>
    <row r="5" spans="1:12" ht="21" customHeight="1">
      <c r="A5" s="14" t="s">
        <v>3</v>
      </c>
      <c r="B5" s="15"/>
      <c r="C5" s="15"/>
      <c r="D5" s="15"/>
      <c r="E5" s="15"/>
      <c r="F5" s="16"/>
      <c r="G5" s="10"/>
      <c r="H5" s="10"/>
      <c r="I5" s="2"/>
      <c r="J5" s="2"/>
      <c r="K5" s="2"/>
      <c r="L5" s="2"/>
    </row>
    <row r="6" spans="1:12" ht="21" customHeight="1">
      <c r="A6" s="12"/>
      <c r="B6" s="12"/>
      <c r="C6" s="10"/>
      <c r="D6" s="10"/>
      <c r="E6" s="10"/>
      <c r="F6" s="10"/>
      <c r="G6" s="10"/>
      <c r="H6" s="10"/>
      <c r="I6" s="2"/>
      <c r="J6" s="2"/>
      <c r="K6" s="2"/>
      <c r="L6" s="2"/>
    </row>
    <row r="7" spans="1:12" s="13" customFormat="1" ht="21" customHeight="1">
      <c r="A7" s="11" t="s">
        <v>1</v>
      </c>
      <c r="B7" s="12"/>
      <c r="C7" s="10"/>
      <c r="D7" s="10"/>
      <c r="E7" s="10"/>
      <c r="F7" s="10"/>
      <c r="G7" s="10"/>
      <c r="H7" s="10"/>
      <c r="I7" s="2"/>
      <c r="J7" s="2"/>
      <c r="K7" s="2"/>
      <c r="L7" s="2"/>
    </row>
    <row r="8" spans="1:12" s="13" customFormat="1" ht="21" customHeight="1">
      <c r="A8" s="14" t="s">
        <v>63</v>
      </c>
      <c r="B8" s="15"/>
      <c r="C8" s="15"/>
      <c r="D8" s="15"/>
      <c r="E8" s="15"/>
      <c r="F8" s="16"/>
      <c r="G8" s="10"/>
      <c r="H8" s="10"/>
      <c r="I8" s="2"/>
      <c r="J8" s="2"/>
      <c r="K8" s="2"/>
      <c r="L8" s="2"/>
    </row>
    <row r="9" spans="1:12" s="13" customFormat="1" ht="21" customHeight="1">
      <c r="A9" s="14" t="s">
        <v>64</v>
      </c>
      <c r="B9" s="15"/>
      <c r="C9" s="15"/>
      <c r="D9" s="15"/>
      <c r="E9" s="15"/>
      <c r="F9" s="16"/>
      <c r="G9" s="10"/>
      <c r="H9" s="10"/>
      <c r="I9" s="2"/>
      <c r="J9" s="2"/>
      <c r="K9" s="2"/>
      <c r="L9" s="2"/>
    </row>
    <row r="10" spans="1:12" s="13" customFormat="1" ht="21" customHeight="1">
      <c r="A10" s="14" t="s">
        <v>65</v>
      </c>
      <c r="B10" s="15"/>
      <c r="C10" s="15"/>
      <c r="D10" s="15"/>
      <c r="E10" s="15"/>
      <c r="F10" s="16"/>
      <c r="G10" s="10"/>
      <c r="H10" s="10"/>
      <c r="I10" s="2"/>
      <c r="J10" s="2"/>
      <c r="K10" s="2"/>
      <c r="L10" s="2"/>
    </row>
    <row r="11" spans="1:12" ht="21" customHeight="1">
      <c r="A11" s="12"/>
      <c r="B11" s="12"/>
      <c r="C11" s="10"/>
      <c r="D11" s="10"/>
      <c r="E11" s="10"/>
      <c r="F11" s="10"/>
      <c r="G11" s="10"/>
      <c r="H11" s="10"/>
      <c r="I11" s="2"/>
      <c r="J11" s="2"/>
      <c r="K11" s="2"/>
      <c r="L11" s="2"/>
    </row>
    <row r="12" spans="1:12" ht="21" customHeight="1">
      <c r="A12" s="11" t="s">
        <v>4</v>
      </c>
      <c r="B12" s="12"/>
      <c r="C12" s="10"/>
      <c r="D12" s="10"/>
      <c r="E12" s="10"/>
      <c r="F12" s="10"/>
      <c r="G12" s="10"/>
      <c r="H12" s="10"/>
      <c r="I12" s="2"/>
      <c r="J12" s="2"/>
      <c r="K12" s="2"/>
      <c r="L12" s="2"/>
    </row>
    <row r="13" spans="1:12" ht="21" customHeight="1">
      <c r="A13" s="14" t="s">
        <v>5</v>
      </c>
      <c r="B13" s="15"/>
      <c r="C13" s="15"/>
      <c r="D13" s="15"/>
      <c r="E13" s="15"/>
      <c r="F13" s="16"/>
      <c r="G13" s="10"/>
      <c r="H13" s="10"/>
      <c r="I13" s="2"/>
      <c r="J13" s="2"/>
      <c r="K13" s="2"/>
      <c r="L13" s="2"/>
    </row>
    <row r="14" spans="1:12" ht="21" customHeight="1">
      <c r="A14" s="12"/>
      <c r="B14" s="12"/>
      <c r="C14" s="12"/>
      <c r="D14" s="12"/>
      <c r="E14" s="12"/>
      <c r="F14" s="12"/>
      <c r="G14" s="10"/>
      <c r="H14" s="10"/>
      <c r="I14" s="2"/>
      <c r="J14" s="2"/>
      <c r="K14" s="2"/>
      <c r="L14" s="2"/>
    </row>
    <row r="15" spans="1:12" ht="21" customHeight="1">
      <c r="A15" s="10"/>
      <c r="B15" s="10"/>
      <c r="C15" s="10"/>
      <c r="D15" s="10"/>
      <c r="E15" s="10"/>
      <c r="F15" s="10"/>
      <c r="G15" s="10"/>
      <c r="H15" s="10"/>
      <c r="I15" s="2"/>
      <c r="J15" s="2"/>
      <c r="K15" s="2"/>
      <c r="L15" s="2"/>
    </row>
    <row r="16" spans="1:12" ht="21" customHeight="1">
      <c r="A16" s="10"/>
      <c r="B16" s="10"/>
      <c r="C16" s="10"/>
      <c r="D16" s="10"/>
      <c r="E16" s="10"/>
      <c r="F16" s="10"/>
      <c r="G16" s="10"/>
      <c r="H16" s="10"/>
      <c r="I16" s="2"/>
      <c r="J16" s="2"/>
      <c r="K16" s="2"/>
      <c r="L16" s="2"/>
    </row>
    <row r="17" spans="1:12" ht="21" customHeight="1">
      <c r="A17" s="10"/>
      <c r="B17" s="10"/>
      <c r="C17" s="10"/>
      <c r="D17" s="10"/>
      <c r="E17" s="10"/>
      <c r="F17" s="10"/>
      <c r="G17" s="10"/>
      <c r="H17" s="10"/>
      <c r="I17" s="2"/>
      <c r="J17" s="2"/>
      <c r="K17" s="2"/>
      <c r="L17" s="2"/>
    </row>
    <row r="18" spans="1:12" ht="21" customHeight="1">
      <c r="A18" s="10"/>
      <c r="B18" s="10"/>
      <c r="C18" s="10"/>
      <c r="D18" s="10"/>
      <c r="E18" s="10"/>
      <c r="F18" s="10"/>
      <c r="G18" s="10"/>
      <c r="H18" s="10"/>
      <c r="I18" s="2"/>
      <c r="J18" s="2"/>
      <c r="K18" s="2"/>
      <c r="L18" s="2"/>
    </row>
    <row r="19" spans="1:12" ht="21" customHeight="1">
      <c r="A19" s="10"/>
      <c r="B19" s="10"/>
      <c r="C19" s="10"/>
      <c r="D19" s="10"/>
      <c r="E19" s="10"/>
      <c r="F19" s="10"/>
      <c r="G19" s="10"/>
      <c r="H19" s="10"/>
      <c r="I19" s="2"/>
      <c r="J19" s="2"/>
      <c r="K19" s="2"/>
      <c r="L19" s="2"/>
    </row>
    <row r="20" spans="1:12" ht="21" customHeight="1">
      <c r="A20" s="10"/>
      <c r="B20" s="10"/>
      <c r="C20" s="10"/>
      <c r="D20" s="10"/>
      <c r="E20" s="10"/>
      <c r="F20" s="10"/>
      <c r="G20" s="10"/>
      <c r="H20" s="10"/>
      <c r="I20" s="2"/>
      <c r="J20" s="2"/>
      <c r="K20" s="2"/>
      <c r="L20" s="2"/>
    </row>
    <row r="21" spans="1:12" ht="21" customHeight="1">
      <c r="A21" s="10"/>
      <c r="B21" s="10"/>
      <c r="C21" s="10"/>
      <c r="D21" s="10"/>
      <c r="E21" s="10"/>
      <c r="F21" s="10"/>
      <c r="G21" s="10"/>
      <c r="H21" s="10"/>
      <c r="I21" s="2"/>
      <c r="J21" s="2"/>
      <c r="K21" s="2"/>
      <c r="L21" s="2"/>
    </row>
    <row r="22" spans="1:12" ht="21" customHeight="1">
      <c r="A22" s="10"/>
      <c r="B22" s="10"/>
      <c r="C22" s="10"/>
      <c r="D22" s="10"/>
      <c r="E22" s="10"/>
      <c r="F22" s="10"/>
      <c r="G22" s="10"/>
      <c r="H22" s="10"/>
      <c r="I22" s="2"/>
      <c r="J22" s="2"/>
      <c r="K22" s="2"/>
      <c r="L22" s="2"/>
    </row>
    <row r="23" spans="1:12" ht="21" customHeight="1">
      <c r="A23" s="10"/>
      <c r="B23" s="10"/>
      <c r="C23" s="10"/>
      <c r="D23" s="10"/>
      <c r="E23" s="10"/>
      <c r="F23" s="10"/>
      <c r="G23" s="10"/>
      <c r="H23" s="10"/>
      <c r="I23" s="2"/>
      <c r="J23" s="2"/>
      <c r="K23" s="2"/>
      <c r="L23" s="2"/>
    </row>
    <row r="24" spans="1:12" ht="21" customHeight="1">
      <c r="A24" s="10"/>
      <c r="B24" s="10"/>
      <c r="C24" s="10"/>
      <c r="D24" s="10"/>
      <c r="E24" s="10"/>
      <c r="F24" s="10"/>
      <c r="G24" s="10"/>
      <c r="H24" s="10"/>
      <c r="I24" s="2"/>
      <c r="J24" s="2"/>
      <c r="K24" s="2"/>
      <c r="L24" s="2"/>
    </row>
    <row r="25" spans="1:12" ht="21" customHeight="1">
      <c r="A25" s="10"/>
      <c r="B25" s="10"/>
      <c r="C25" s="10"/>
      <c r="D25" s="10"/>
      <c r="E25" s="10"/>
      <c r="F25" s="10"/>
      <c r="G25" s="10"/>
      <c r="H25" s="10"/>
      <c r="I25" s="2"/>
      <c r="J25" s="2"/>
      <c r="K25" s="2"/>
      <c r="L25" s="2"/>
    </row>
    <row r="26" spans="1:12" ht="21" customHeight="1">
      <c r="A26" s="10"/>
      <c r="B26" s="10"/>
      <c r="C26" s="10"/>
      <c r="D26" s="10"/>
      <c r="E26" s="10"/>
      <c r="F26" s="10"/>
      <c r="G26" s="10"/>
      <c r="H26" s="10"/>
      <c r="I26" s="2"/>
      <c r="J26" s="2"/>
      <c r="K26" s="2"/>
      <c r="L26" s="2"/>
    </row>
    <row r="27" spans="1:12" ht="21" customHeight="1">
      <c r="A27" s="10"/>
      <c r="B27" s="10"/>
      <c r="C27" s="10"/>
      <c r="D27" s="10"/>
      <c r="E27" s="10"/>
      <c r="F27" s="10"/>
      <c r="G27" s="10"/>
      <c r="H27" s="10"/>
      <c r="I27" s="2"/>
      <c r="J27" s="2"/>
      <c r="K27" s="2"/>
      <c r="L27" s="2"/>
    </row>
    <row r="28" spans="1:12" ht="18.75">
      <c r="A28" s="10"/>
      <c r="B28" s="10"/>
      <c r="C28" s="10"/>
      <c r="D28" s="10"/>
      <c r="E28" s="10"/>
      <c r="F28" s="10"/>
      <c r="G28" s="10"/>
      <c r="H28" s="10"/>
      <c r="I28" s="2"/>
      <c r="J28" s="2"/>
      <c r="K28" s="2"/>
      <c r="L28" s="2"/>
    </row>
    <row r="29" spans="1:12" ht="18.75">
      <c r="A29" s="10"/>
      <c r="B29" s="10"/>
      <c r="C29" s="10"/>
      <c r="D29" s="10"/>
      <c r="E29" s="10"/>
      <c r="F29" s="10"/>
      <c r="G29" s="10"/>
      <c r="H29" s="10"/>
      <c r="I29" s="2"/>
      <c r="J29" s="2"/>
      <c r="K29" s="2"/>
      <c r="L29" s="2"/>
    </row>
    <row r="30" spans="1:12" ht="18.75">
      <c r="A30" s="10"/>
      <c r="B30" s="10"/>
      <c r="C30" s="10"/>
      <c r="D30" s="10"/>
      <c r="E30" s="10"/>
      <c r="F30" s="10"/>
      <c r="G30" s="10"/>
      <c r="H30" s="10"/>
      <c r="I30" s="2"/>
      <c r="J30" s="2"/>
      <c r="K30" s="2"/>
      <c r="L30" s="2"/>
    </row>
    <row r="31" spans="1:12" ht="18.75">
      <c r="A31" s="10"/>
      <c r="B31" s="10"/>
      <c r="C31" s="10"/>
      <c r="D31" s="10"/>
      <c r="E31" s="10"/>
      <c r="F31" s="10"/>
      <c r="G31" s="10"/>
      <c r="H31" s="10"/>
      <c r="I31" s="2"/>
      <c r="J31" s="2"/>
      <c r="K31" s="2"/>
      <c r="L31" s="2"/>
    </row>
    <row r="32" spans="1:12" ht="18.75">
      <c r="A32" s="10"/>
      <c r="B32" s="10"/>
      <c r="C32" s="10"/>
      <c r="D32" s="10"/>
      <c r="E32" s="10"/>
      <c r="F32" s="10"/>
      <c r="G32" s="10"/>
      <c r="H32" s="10"/>
      <c r="I32" s="2"/>
      <c r="J32" s="2"/>
      <c r="K32" s="2"/>
      <c r="L32" s="2"/>
    </row>
    <row r="33" spans="1:12" ht="18.75">
      <c r="A33" s="10"/>
      <c r="B33" s="10"/>
      <c r="C33" s="10"/>
      <c r="D33" s="10"/>
      <c r="E33" s="10"/>
      <c r="F33" s="10"/>
      <c r="G33" s="10"/>
      <c r="H33" s="10"/>
      <c r="I33" s="2"/>
      <c r="J33" s="2"/>
      <c r="K33" s="2"/>
      <c r="L33" s="2"/>
    </row>
    <row r="34" spans="1:12" ht="18.75">
      <c r="A34" s="10"/>
      <c r="B34" s="10"/>
      <c r="C34" s="10"/>
      <c r="D34" s="10"/>
      <c r="E34" s="10"/>
      <c r="F34" s="10"/>
      <c r="G34" s="10"/>
      <c r="H34" s="10"/>
      <c r="I34" s="2"/>
      <c r="J34" s="2"/>
      <c r="K34" s="2"/>
      <c r="L34" s="2"/>
    </row>
    <row r="35" spans="1:12" ht="18.75">
      <c r="A35" s="10"/>
      <c r="B35" s="10"/>
      <c r="C35" s="10"/>
      <c r="D35" s="10"/>
      <c r="E35" s="10"/>
      <c r="F35" s="10"/>
      <c r="G35" s="10"/>
      <c r="H35" s="10"/>
      <c r="I35" s="2"/>
      <c r="J35" s="2"/>
      <c r="K35" s="2"/>
      <c r="L35" s="2"/>
    </row>
    <row r="36" spans="1:12" ht="18.75">
      <c r="A36" s="10"/>
      <c r="B36" s="10"/>
      <c r="C36" s="10"/>
      <c r="D36" s="10"/>
      <c r="E36" s="10"/>
      <c r="F36" s="10"/>
      <c r="G36" s="10"/>
      <c r="H36" s="10"/>
      <c r="I36" s="2"/>
      <c r="J36" s="2"/>
      <c r="K36" s="2"/>
      <c r="L36" s="2"/>
    </row>
    <row r="37" spans="1:12" ht="18.75">
      <c r="A37" s="10"/>
      <c r="B37" s="10"/>
      <c r="C37" s="10"/>
      <c r="D37" s="10"/>
      <c r="E37" s="10"/>
      <c r="F37" s="10"/>
      <c r="G37" s="10"/>
      <c r="H37" s="10"/>
      <c r="I37" s="2"/>
      <c r="J37" s="2"/>
      <c r="K37" s="2"/>
      <c r="L37" s="2"/>
    </row>
    <row r="38" spans="1:12" ht="18.75">
      <c r="A38" s="10"/>
      <c r="B38" s="10"/>
      <c r="C38" s="10"/>
      <c r="D38" s="10"/>
      <c r="E38" s="10"/>
      <c r="F38" s="10"/>
      <c r="G38" s="10"/>
      <c r="H38" s="10"/>
      <c r="I38" s="2"/>
      <c r="J38" s="2"/>
      <c r="K38" s="2"/>
      <c r="L38" s="2"/>
    </row>
    <row r="39" spans="1:12" ht="18.75">
      <c r="A39" s="10"/>
      <c r="B39" s="10"/>
      <c r="C39" s="10"/>
      <c r="D39" s="10"/>
      <c r="E39" s="10"/>
      <c r="F39" s="10"/>
      <c r="G39" s="10"/>
      <c r="H39" s="10"/>
      <c r="I39" s="2"/>
      <c r="J39" s="2"/>
      <c r="K39" s="2"/>
      <c r="L39" s="2"/>
    </row>
    <row r="40" spans="1:12" ht="18.75">
      <c r="A40" s="10"/>
      <c r="B40" s="10"/>
      <c r="C40" s="10"/>
      <c r="D40" s="10"/>
      <c r="E40" s="10"/>
      <c r="F40" s="10"/>
      <c r="G40" s="10"/>
      <c r="H40" s="10"/>
      <c r="I40" s="2"/>
      <c r="J40" s="2"/>
      <c r="K40" s="2"/>
      <c r="L40" s="2"/>
    </row>
    <row r="41" spans="1:12" ht="18.75">
      <c r="A41" s="2"/>
      <c r="B41" s="2"/>
      <c r="C41" s="2"/>
      <c r="D41" s="2"/>
      <c r="E41" s="2"/>
      <c r="F41" s="2"/>
      <c r="G41" s="10"/>
      <c r="H41" s="10"/>
      <c r="I41" s="2"/>
      <c r="J41" s="2"/>
      <c r="K41" s="2"/>
      <c r="L41" s="2"/>
    </row>
    <row r="42" spans="1:12" ht="18.75">
      <c r="A42" s="2"/>
      <c r="B42" s="2"/>
      <c r="C42" s="2"/>
      <c r="D42" s="2"/>
      <c r="E42" s="2"/>
      <c r="F42" s="2"/>
      <c r="G42" s="10"/>
      <c r="H42" s="10"/>
      <c r="I42" s="2"/>
      <c r="J42" s="2"/>
      <c r="K42" s="2"/>
      <c r="L42" s="2"/>
    </row>
    <row r="43" spans="1:12" ht="18.7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</row>
    <row r="44" spans="1:12" ht="18.7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ht="18.7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  <row r="46" spans="1:12" ht="18.7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</row>
    <row r="47" spans="1:12" ht="18.7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</row>
    <row r="48" spans="1:12" ht="18.7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18.7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18.7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18.7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18.7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  <row r="53" spans="1:12" ht="18.7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</row>
    <row r="54" spans="1:12" ht="18.7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</row>
    <row r="55" spans="1:12" ht="18.7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</row>
    <row r="56" spans="1:12" ht="18.7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</row>
    <row r="57" spans="1:12" ht="18.7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</row>
    <row r="58" spans="1:12" ht="18.7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</row>
    <row r="59" spans="1:12" ht="18.7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</row>
    <row r="60" spans="1:12" ht="18.7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</row>
    <row r="61" spans="1:12" ht="18.7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</row>
    <row r="62" spans="1:12" ht="18.7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</row>
    <row r="63" spans="1:12" ht="18.7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</row>
    <row r="64" spans="1:12" ht="18.7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</row>
    <row r="65" spans="1:12" ht="18.7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</row>
    <row r="66" spans="1:12" ht="18.7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</row>
    <row r="67" spans="1:12" ht="18.7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ht="18.7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ht="18.7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</row>
    <row r="70" spans="1:12" ht="18.7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</row>
    <row r="71" spans="1:12" ht="18.7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</row>
    <row r="72" spans="1:12" ht="18.7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</row>
    <row r="73" spans="1:12" ht="18.7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</row>
    <row r="74" spans="1:12" ht="18.7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</row>
    <row r="75" spans="1:12" ht="18.7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</row>
    <row r="76" spans="1:12" ht="18.7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</row>
    <row r="77" spans="1:12" ht="18.7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</row>
    <row r="78" spans="1:12" ht="18.7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</row>
    <row r="79" spans="1:12" ht="18.7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</row>
    <row r="80" spans="1:12" ht="18.7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</row>
    <row r="81" spans="7:12" ht="18.75">
      <c r="G81" s="2"/>
      <c r="H81" s="2"/>
      <c r="I81" s="2"/>
      <c r="J81" s="2"/>
      <c r="K81" s="2"/>
      <c r="L81" s="2"/>
    </row>
    <row r="82" spans="7:12" ht="18.75">
      <c r="G82" s="2"/>
      <c r="H82" s="2"/>
      <c r="I82" s="2"/>
      <c r="J82" s="2"/>
      <c r="K82" s="2"/>
      <c r="L82" s="2"/>
    </row>
  </sheetData>
  <mergeCells count="7">
    <mergeCell ref="A13:F13"/>
    <mergeCell ref="A1:F1"/>
    <mergeCell ref="A5:F5"/>
    <mergeCell ref="A4:F4"/>
    <mergeCell ref="A8:F8"/>
    <mergeCell ref="A9:F9"/>
    <mergeCell ref="A10:F10"/>
  </mergeCells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2" style="1" customWidth="1"/>
    <col min="2" max="3" width="18" style="1" customWidth="1"/>
    <col min="4" max="4" width="12" style="1" customWidth="1"/>
    <col min="5" max="5" width="32" style="1" customWidth="1"/>
    <col min="6" max="6" width="14" style="1" customWidth="1"/>
    <col min="7" max="8" width="10" style="1" customWidth="1"/>
    <col min="9" max="9" width="32" style="1" customWidth="1"/>
    <col min="10" max="10" width="12" style="1" customWidth="1"/>
  </cols>
  <sheetData>
    <row r="1" spans="1:12" ht="24" customHeight="1">
      <c r="A1" s="4" t="s">
        <v>6</v>
      </c>
      <c r="B1" s="4" t="s">
        <v>7</v>
      </c>
      <c r="C1" s="4" t="s">
        <v>8</v>
      </c>
      <c r="D1" s="4" t="s">
        <v>9</v>
      </c>
      <c r="E1" s="4" t="s">
        <v>10</v>
      </c>
      <c r="F1" s="4" t="s">
        <v>11</v>
      </c>
      <c r="G1" s="4" t="s">
        <v>12</v>
      </c>
      <c r="H1" s="4" t="s">
        <v>13</v>
      </c>
      <c r="I1" s="4" t="s">
        <v>14</v>
      </c>
      <c r="J1" s="4" t="s">
        <v>15</v>
      </c>
      <c r="K1" s="2"/>
      <c r="L1" s="2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9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30" style="1" customWidth="1"/>
    <col min="2" max="2" width="32" style="1" customWidth="1"/>
    <col min="3" max="3" width="24" style="1" customWidth="1"/>
  </cols>
  <sheetData>
    <row r="1" spans="1:5" ht="30" customHeight="1">
      <c r="A1" s="4" t="s">
        <v>16</v>
      </c>
      <c r="B1" s="4" t="s">
        <v>17</v>
      </c>
      <c r="C1" s="4" t="s">
        <v>14</v>
      </c>
      <c r="D1" s="2"/>
      <c r="E1" s="2"/>
    </row>
    <row r="2" spans="1:5" ht="18.75">
      <c r="A2" s="5" t="s">
        <v>18</v>
      </c>
      <c r="B2" s="5" t="s">
        <v>18</v>
      </c>
      <c r="C2" s="5"/>
      <c r="D2" s="2"/>
      <c r="E2" s="2"/>
    </row>
    <row r="3" spans="1:5" ht="18.75">
      <c r="A3" s="5" t="s">
        <v>19</v>
      </c>
      <c r="B3" s="5" t="s">
        <v>18</v>
      </c>
      <c r="C3" s="5"/>
      <c r="D3" s="2"/>
      <c r="E3" s="2"/>
    </row>
    <row r="4" spans="1:5" ht="18.75">
      <c r="A4" s="5" t="s">
        <v>20</v>
      </c>
      <c r="B4" s="5" t="s">
        <v>20</v>
      </c>
      <c r="C4" s="5"/>
      <c r="D4" s="2"/>
      <c r="E4" s="2"/>
    </row>
    <row r="5" spans="1:5" ht="18.75">
      <c r="A5" s="5" t="s">
        <v>21</v>
      </c>
      <c r="B5" s="5" t="s">
        <v>20</v>
      </c>
      <c r="C5" s="5"/>
      <c r="D5" s="2"/>
      <c r="E5" s="2"/>
    </row>
    <row r="6" spans="1:5" ht="18.75">
      <c r="A6" s="5" t="s">
        <v>22</v>
      </c>
      <c r="B6" s="5" t="s">
        <v>22</v>
      </c>
      <c r="C6" s="5"/>
      <c r="D6" s="2"/>
      <c r="E6" s="2"/>
    </row>
    <row r="7" spans="1:5" ht="18.75">
      <c r="A7" s="5" t="s">
        <v>23</v>
      </c>
      <c r="B7" s="5" t="s">
        <v>22</v>
      </c>
      <c r="C7" s="5"/>
      <c r="D7" s="2"/>
      <c r="E7" s="2"/>
    </row>
    <row r="8" spans="1:5" ht="18.75">
      <c r="A8" s="5" t="s">
        <v>24</v>
      </c>
      <c r="B8" s="5" t="s">
        <v>24</v>
      </c>
      <c r="C8" s="5"/>
      <c r="D8" s="2"/>
      <c r="E8" s="2"/>
    </row>
    <row r="9" spans="1:5" ht="18.75">
      <c r="A9" s="5" t="s">
        <v>25</v>
      </c>
      <c r="B9" s="5" t="s">
        <v>24</v>
      </c>
      <c r="C9" s="5"/>
      <c r="D9" s="2"/>
      <c r="E9" s="2"/>
    </row>
    <row r="10" spans="1:5" ht="18.75">
      <c r="A10" s="5" t="s">
        <v>26</v>
      </c>
      <c r="B10" s="5" t="s">
        <v>26</v>
      </c>
      <c r="C10" s="5"/>
      <c r="D10" s="2"/>
      <c r="E10" s="2"/>
    </row>
    <row r="11" spans="1:5" ht="18.75">
      <c r="A11" s="5" t="s">
        <v>27</v>
      </c>
      <c r="B11" s="5" t="s">
        <v>26</v>
      </c>
      <c r="C11" s="5"/>
      <c r="D11" s="2"/>
      <c r="E11" s="2"/>
    </row>
    <row r="12" spans="1:5" ht="28.5" customHeight="1">
      <c r="A12" s="5" t="s">
        <v>28</v>
      </c>
      <c r="B12" s="5" t="s">
        <v>28</v>
      </c>
      <c r="C12" s="5"/>
      <c r="D12" s="2"/>
      <c r="E12" s="2"/>
    </row>
    <row r="13" spans="1:5" ht="18.75">
      <c r="A13" s="5" t="s">
        <v>29</v>
      </c>
      <c r="B13" s="5" t="s">
        <v>29</v>
      </c>
      <c r="C13" s="5"/>
      <c r="D13" s="2"/>
      <c r="E13" s="2"/>
    </row>
    <row r="14" spans="1:5" ht="18.75">
      <c r="A14" s="5" t="s">
        <v>30</v>
      </c>
      <c r="B14" s="5" t="s">
        <v>29</v>
      </c>
      <c r="C14" s="5"/>
      <c r="D14" s="2"/>
      <c r="E14" s="2"/>
    </row>
    <row r="15" spans="1:5" ht="18.75">
      <c r="A15" s="5" t="s">
        <v>31</v>
      </c>
      <c r="B15" s="5" t="s">
        <v>31</v>
      </c>
      <c r="C15" s="5"/>
      <c r="D15" s="2"/>
      <c r="E15" s="2"/>
    </row>
    <row r="16" spans="1:5" ht="18.75">
      <c r="A16" s="5" t="s">
        <v>32</v>
      </c>
      <c r="B16" s="5" t="s">
        <v>31</v>
      </c>
      <c r="C16" s="5"/>
      <c r="D16" s="2"/>
      <c r="E16" s="2"/>
    </row>
    <row r="17" spans="1:5" ht="18.75">
      <c r="A17" s="5" t="s">
        <v>33</v>
      </c>
      <c r="B17" s="5" t="s">
        <v>33</v>
      </c>
      <c r="C17" s="5"/>
      <c r="D17" s="2"/>
      <c r="E17" s="2"/>
    </row>
    <row r="18" spans="1:5" ht="18.75">
      <c r="A18" s="5" t="s">
        <v>34</v>
      </c>
      <c r="B18" s="5" t="s">
        <v>34</v>
      </c>
      <c r="C18" s="5"/>
      <c r="D18" s="2"/>
      <c r="E18" s="2"/>
    </row>
    <row r="19" spans="1:5" ht="18.75">
      <c r="A19" s="5" t="s">
        <v>35</v>
      </c>
      <c r="B19" s="5" t="s">
        <v>34</v>
      </c>
      <c r="C19" s="5"/>
      <c r="D19" s="2"/>
      <c r="E19" s="2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8"/>
  <sheetViews>
    <sheetView workbookViewId="0">
      <pane ySplit="1" topLeftCell="A2" activePane="bottomLeft" state="frozen"/>
      <selection pane="bottomLeft" activeCell="C51" sqref="C51"/>
    </sheetView>
  </sheetViews>
  <sheetFormatPr defaultRowHeight="14.25"/>
  <cols>
    <col min="1" max="2" width="18" style="1" customWidth="1"/>
    <col min="3" max="3" width="16" style="1" customWidth="1"/>
    <col min="4" max="4" width="28" style="1" customWidth="1"/>
  </cols>
  <sheetData>
    <row r="1" spans="1:6" ht="30" customHeight="1">
      <c r="A1" s="4" t="s">
        <v>36</v>
      </c>
      <c r="B1" s="4" t="s">
        <v>37</v>
      </c>
      <c r="C1" s="4" t="s">
        <v>38</v>
      </c>
      <c r="D1" s="4" t="s">
        <v>14</v>
      </c>
      <c r="E1" s="2"/>
      <c r="F1" s="2"/>
    </row>
    <row r="2" spans="1:6" ht="18.75">
      <c r="A2" s="5" t="s">
        <v>39</v>
      </c>
      <c r="B2" s="5" t="s">
        <v>39</v>
      </c>
      <c r="C2" s="5" t="s">
        <v>40</v>
      </c>
      <c r="D2" s="5"/>
      <c r="E2" s="2"/>
      <c r="F2" s="2"/>
    </row>
    <row r="3" spans="1:6" ht="18.75">
      <c r="A3" s="5" t="s">
        <v>41</v>
      </c>
      <c r="B3" s="5" t="s">
        <v>39</v>
      </c>
      <c r="C3" s="5" t="s">
        <v>40</v>
      </c>
      <c r="D3" s="5"/>
      <c r="E3" s="2"/>
      <c r="F3" s="2"/>
    </row>
    <row r="4" spans="1:6" ht="28.5" customHeight="1">
      <c r="A4" s="5" t="s">
        <v>42</v>
      </c>
      <c r="B4" s="5" t="s">
        <v>42</v>
      </c>
      <c r="C4" s="5" t="s">
        <v>43</v>
      </c>
      <c r="D4" s="5"/>
      <c r="E4" s="2"/>
      <c r="F4" s="2"/>
    </row>
    <row r="5" spans="1:6" ht="18.75">
      <c r="A5" s="5" t="s">
        <v>44</v>
      </c>
      <c r="B5" s="5" t="s">
        <v>42</v>
      </c>
      <c r="C5" s="5" t="s">
        <v>43</v>
      </c>
      <c r="D5" s="5"/>
      <c r="E5" s="2"/>
      <c r="F5" s="2"/>
    </row>
    <row r="6" spans="1:6" ht="28.5" customHeight="1">
      <c r="A6" s="5" t="s">
        <v>45</v>
      </c>
      <c r="B6" s="5" t="s">
        <v>45</v>
      </c>
      <c r="C6" s="5" t="s">
        <v>40</v>
      </c>
      <c r="D6" s="5"/>
      <c r="E6" s="2"/>
      <c r="F6" s="2"/>
    </row>
    <row r="7" spans="1:6" ht="28.5" customHeight="1">
      <c r="A7" s="5" t="s">
        <v>46</v>
      </c>
      <c r="B7" s="5" t="s">
        <v>46</v>
      </c>
      <c r="C7" s="5" t="s">
        <v>40</v>
      </c>
      <c r="D7" s="5"/>
      <c r="E7" s="2"/>
      <c r="F7" s="2"/>
    </row>
    <row r="8" spans="1:6" ht="28.5" customHeight="1">
      <c r="A8" s="5" t="s">
        <v>47</v>
      </c>
      <c r="B8" s="5" t="s">
        <v>47</v>
      </c>
      <c r="C8" s="5" t="s">
        <v>40</v>
      </c>
      <c r="D8" s="5"/>
      <c r="E8" s="2"/>
      <c r="F8" s="2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40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2" style="1" customWidth="1"/>
    <col min="2" max="2" width="18" style="1" customWidth="1"/>
    <col min="3" max="3" width="16" style="1" customWidth="1"/>
    <col min="4" max="4" width="22" style="1" customWidth="1"/>
    <col min="5" max="6" width="18" style="1" customWidth="1"/>
    <col min="7" max="7" width="32" style="1" customWidth="1"/>
    <col min="8" max="8" width="14" style="1" customWidth="1"/>
    <col min="9" max="10" width="10" style="1" customWidth="1"/>
    <col min="11" max="11" width="32" style="1" customWidth="1"/>
    <col min="12" max="12" width="12" style="1" customWidth="1"/>
  </cols>
  <sheetData>
    <row r="1" spans="1:14" ht="24" customHeight="1">
      <c r="A1" s="6" t="s">
        <v>6</v>
      </c>
      <c r="B1" s="6" t="s">
        <v>7</v>
      </c>
      <c r="C1" s="6" t="s">
        <v>8</v>
      </c>
      <c r="D1" s="6" t="s">
        <v>48</v>
      </c>
      <c r="E1" s="6" t="s">
        <v>49</v>
      </c>
      <c r="F1" s="6" t="s">
        <v>50</v>
      </c>
      <c r="G1" s="6" t="s">
        <v>10</v>
      </c>
      <c r="H1" s="6" t="s">
        <v>11</v>
      </c>
      <c r="I1" s="6" t="s">
        <v>12</v>
      </c>
      <c r="J1" s="6" t="s">
        <v>13</v>
      </c>
      <c r="K1" s="6" t="s">
        <v>14</v>
      </c>
      <c r="L1" s="6" t="s">
        <v>15</v>
      </c>
      <c r="M1" s="2"/>
      <c r="N1" s="2"/>
    </row>
    <row r="2" spans="1:14" ht="18.75">
      <c r="A2" s="5"/>
      <c r="B2" s="5"/>
      <c r="C2" s="5"/>
      <c r="D2" s="5"/>
      <c r="E2" s="7"/>
      <c r="F2" s="5"/>
      <c r="G2" s="5"/>
      <c r="H2" s="5"/>
      <c r="I2" s="5"/>
      <c r="J2" s="5"/>
      <c r="K2" s="5"/>
      <c r="L2" s="5"/>
      <c r="M2" s="2"/>
      <c r="N2" s="2"/>
    </row>
    <row r="3" spans="1:14" ht="18.75">
      <c r="A3" s="5"/>
      <c r="B3" s="5"/>
      <c r="C3" s="5"/>
      <c r="D3" s="5"/>
      <c r="E3" s="7"/>
      <c r="F3" s="5"/>
      <c r="G3" s="5"/>
      <c r="H3" s="5"/>
      <c r="I3" s="5"/>
      <c r="J3" s="5"/>
      <c r="K3" s="5"/>
      <c r="L3" s="5"/>
      <c r="M3" s="2"/>
      <c r="N3" s="2"/>
    </row>
    <row r="4" spans="1:14" ht="18.75">
      <c r="A4" s="5"/>
      <c r="B4" s="5"/>
      <c r="C4" s="5"/>
      <c r="D4" s="5"/>
      <c r="E4" s="7"/>
      <c r="F4" s="5"/>
      <c r="G4" s="5"/>
      <c r="H4" s="5"/>
      <c r="I4" s="5"/>
      <c r="J4" s="5"/>
      <c r="K4" s="5"/>
      <c r="L4" s="5"/>
      <c r="M4" s="2"/>
      <c r="N4" s="2"/>
    </row>
    <row r="5" spans="1:14" ht="18.75">
      <c r="A5" s="5"/>
      <c r="B5" s="5"/>
      <c r="C5" s="5"/>
      <c r="D5" s="5"/>
      <c r="E5" s="7"/>
      <c r="F5" s="5"/>
      <c r="G5" s="5"/>
      <c r="H5" s="5"/>
      <c r="I5" s="5"/>
      <c r="J5" s="5"/>
      <c r="K5" s="5"/>
      <c r="L5" s="5"/>
      <c r="M5" s="2"/>
      <c r="N5" s="2"/>
    </row>
    <row r="6" spans="1:14" ht="18.75">
      <c r="A6" s="5"/>
      <c r="B6" s="5"/>
      <c r="C6" s="5"/>
      <c r="D6" s="5"/>
      <c r="E6" s="7"/>
      <c r="F6" s="5"/>
      <c r="G6" s="5"/>
      <c r="H6" s="5"/>
      <c r="I6" s="5"/>
      <c r="J6" s="5"/>
      <c r="K6" s="5"/>
      <c r="L6" s="5"/>
      <c r="M6" s="2"/>
      <c r="N6" s="2"/>
    </row>
    <row r="7" spans="1:14" ht="18.75">
      <c r="A7" s="5"/>
      <c r="B7" s="5"/>
      <c r="C7" s="5"/>
      <c r="D7" s="5"/>
      <c r="E7" s="7"/>
      <c r="F7" s="5"/>
      <c r="G7" s="5"/>
      <c r="H7" s="5"/>
      <c r="I7" s="5"/>
      <c r="J7" s="5"/>
      <c r="K7" s="5"/>
      <c r="L7" s="5"/>
      <c r="M7" s="2"/>
      <c r="N7" s="2"/>
    </row>
    <row r="8" spans="1:14" ht="18.75">
      <c r="A8" s="5"/>
      <c r="B8" s="5"/>
      <c r="C8" s="5"/>
      <c r="D8" s="5"/>
      <c r="E8" s="7"/>
      <c r="F8" s="5"/>
      <c r="G8" s="5"/>
      <c r="H8" s="5"/>
      <c r="I8" s="5"/>
      <c r="J8" s="5"/>
      <c r="K8" s="5"/>
      <c r="L8" s="5"/>
      <c r="M8" s="2"/>
      <c r="N8" s="2"/>
    </row>
    <row r="9" spans="1:14" ht="18.75">
      <c r="A9" s="5"/>
      <c r="B9" s="5"/>
      <c r="C9" s="5"/>
      <c r="D9" s="5"/>
      <c r="E9" s="7"/>
      <c r="F9" s="5"/>
      <c r="G9" s="5"/>
      <c r="H9" s="5"/>
      <c r="I9" s="5"/>
      <c r="J9" s="5"/>
      <c r="K9" s="5"/>
      <c r="L9" s="5"/>
      <c r="M9" s="2"/>
      <c r="N9" s="2"/>
    </row>
    <row r="10" spans="1:14" ht="18.75">
      <c r="A10" s="5"/>
      <c r="B10" s="5"/>
      <c r="C10" s="5"/>
      <c r="D10" s="5"/>
      <c r="E10" s="7"/>
      <c r="F10" s="5"/>
      <c r="G10" s="5"/>
      <c r="H10" s="5"/>
      <c r="I10" s="5"/>
      <c r="J10" s="5"/>
      <c r="K10" s="5"/>
      <c r="L10" s="5"/>
      <c r="M10" s="2"/>
      <c r="N10" s="2"/>
    </row>
    <row r="11" spans="1:14" ht="18.75">
      <c r="A11" s="5"/>
      <c r="B11" s="5"/>
      <c r="C11" s="5"/>
      <c r="D11" s="5"/>
      <c r="E11" s="7"/>
      <c r="F11" s="5"/>
      <c r="G11" s="5"/>
      <c r="H11" s="5"/>
      <c r="I11" s="5"/>
      <c r="J11" s="5"/>
      <c r="K11" s="5"/>
      <c r="L11" s="5"/>
      <c r="M11" s="2"/>
      <c r="N11" s="2"/>
    </row>
    <row r="12" spans="1:14" ht="18.75">
      <c r="A12" s="5"/>
      <c r="B12" s="5"/>
      <c r="C12" s="5"/>
      <c r="D12" s="5"/>
      <c r="E12" s="7"/>
      <c r="F12" s="5"/>
      <c r="G12" s="5"/>
      <c r="H12" s="5"/>
      <c r="I12" s="5"/>
      <c r="J12" s="5"/>
      <c r="K12" s="5"/>
      <c r="L12" s="5"/>
      <c r="M12" s="2"/>
      <c r="N12" s="2"/>
    </row>
    <row r="13" spans="1:14" ht="18.75">
      <c r="A13" s="5"/>
      <c r="B13" s="5"/>
      <c r="C13" s="5"/>
      <c r="D13" s="5"/>
      <c r="E13" s="7"/>
      <c r="F13" s="5"/>
      <c r="G13" s="5"/>
      <c r="H13" s="5"/>
      <c r="I13" s="5"/>
      <c r="J13" s="5"/>
      <c r="K13" s="5"/>
      <c r="L13" s="5"/>
      <c r="M13" s="2"/>
      <c r="N13" s="2"/>
    </row>
    <row r="14" spans="1:14" ht="18.75">
      <c r="A14" s="5"/>
      <c r="B14" s="5"/>
      <c r="C14" s="5"/>
      <c r="D14" s="5"/>
      <c r="E14" s="7"/>
      <c r="F14" s="5"/>
      <c r="G14" s="5"/>
      <c r="H14" s="5"/>
      <c r="I14" s="5"/>
      <c r="J14" s="5"/>
      <c r="K14" s="5"/>
      <c r="L14" s="5"/>
      <c r="M14" s="2"/>
      <c r="N14" s="2"/>
    </row>
    <row r="15" spans="1:14" ht="18.75">
      <c r="A15" s="5"/>
      <c r="B15" s="5"/>
      <c r="C15" s="5"/>
      <c r="D15" s="5"/>
      <c r="E15" s="7"/>
      <c r="F15" s="5"/>
      <c r="G15" s="5"/>
      <c r="H15" s="5"/>
      <c r="I15" s="5"/>
      <c r="J15" s="5"/>
      <c r="K15" s="5"/>
      <c r="L15" s="5"/>
      <c r="M15" s="2"/>
      <c r="N15" s="2"/>
    </row>
    <row r="16" spans="1:14" ht="18.75">
      <c r="A16" s="5"/>
      <c r="B16" s="5"/>
      <c r="C16" s="5"/>
      <c r="D16" s="5"/>
      <c r="E16" s="7"/>
      <c r="F16" s="5"/>
      <c r="G16" s="5"/>
      <c r="H16" s="5"/>
      <c r="I16" s="5"/>
      <c r="J16" s="5"/>
      <c r="K16" s="5"/>
      <c r="L16" s="5"/>
      <c r="M16" s="2"/>
      <c r="N16" s="2"/>
    </row>
    <row r="17" spans="1:14" ht="18.75">
      <c r="A17" s="5"/>
      <c r="B17" s="5"/>
      <c r="C17" s="5"/>
      <c r="D17" s="5"/>
      <c r="E17" s="7"/>
      <c r="F17" s="5"/>
      <c r="G17" s="5"/>
      <c r="H17" s="5"/>
      <c r="I17" s="5"/>
      <c r="J17" s="5"/>
      <c r="K17" s="5"/>
      <c r="L17" s="5"/>
      <c r="M17" s="2"/>
      <c r="N17" s="2"/>
    </row>
    <row r="18" spans="1:14" ht="18.75">
      <c r="A18" s="5"/>
      <c r="B18" s="5"/>
      <c r="C18" s="5"/>
      <c r="D18" s="5"/>
      <c r="E18" s="7"/>
      <c r="F18" s="5"/>
      <c r="G18" s="5"/>
      <c r="H18" s="5"/>
      <c r="I18" s="5"/>
      <c r="J18" s="5"/>
      <c r="K18" s="5"/>
      <c r="L18" s="5"/>
      <c r="M18" s="2"/>
      <c r="N18" s="2"/>
    </row>
    <row r="19" spans="1:14" ht="18.75">
      <c r="A19" s="5"/>
      <c r="B19" s="5"/>
      <c r="C19" s="5"/>
      <c r="D19" s="5"/>
      <c r="E19" s="7"/>
      <c r="F19" s="5"/>
      <c r="G19" s="5"/>
      <c r="H19" s="5"/>
      <c r="I19" s="5"/>
      <c r="J19" s="5"/>
      <c r="K19" s="5"/>
      <c r="L19" s="5"/>
      <c r="M19" s="2"/>
      <c r="N19" s="2"/>
    </row>
    <row r="20" spans="1:14" ht="18.75">
      <c r="A20" s="5"/>
      <c r="B20" s="5"/>
      <c r="C20" s="5"/>
      <c r="D20" s="5"/>
      <c r="E20" s="7"/>
      <c r="F20" s="5"/>
      <c r="G20" s="5"/>
      <c r="H20" s="5"/>
      <c r="I20" s="5"/>
      <c r="J20" s="5"/>
      <c r="K20" s="5"/>
      <c r="L20" s="5"/>
      <c r="M20" s="2"/>
      <c r="N20" s="2"/>
    </row>
    <row r="21" spans="1:14" ht="18.75">
      <c r="A21" s="5"/>
      <c r="B21" s="5"/>
      <c r="C21" s="5"/>
      <c r="D21" s="5"/>
      <c r="E21" s="7"/>
      <c r="F21" s="5"/>
      <c r="G21" s="5"/>
      <c r="H21" s="5"/>
      <c r="I21" s="5"/>
      <c r="J21" s="5"/>
      <c r="K21" s="5"/>
      <c r="L21" s="5"/>
      <c r="M21" s="2"/>
      <c r="N21" s="2"/>
    </row>
    <row r="22" spans="1:14" ht="18.75">
      <c r="A22" s="5"/>
      <c r="B22" s="5"/>
      <c r="C22" s="5"/>
      <c r="D22" s="5"/>
      <c r="E22" s="7"/>
      <c r="F22" s="5"/>
      <c r="G22" s="5"/>
      <c r="H22" s="5"/>
      <c r="I22" s="5"/>
      <c r="J22" s="5"/>
      <c r="K22" s="5"/>
      <c r="L22" s="5"/>
      <c r="M22" s="2"/>
      <c r="N22" s="2"/>
    </row>
    <row r="23" spans="1:14" ht="18.75">
      <c r="A23" s="5"/>
      <c r="B23" s="5"/>
      <c r="C23" s="5"/>
      <c r="D23" s="5"/>
      <c r="E23" s="7"/>
      <c r="F23" s="5"/>
      <c r="G23" s="5"/>
      <c r="H23" s="5"/>
      <c r="I23" s="5"/>
      <c r="J23" s="5"/>
      <c r="K23" s="5"/>
      <c r="L23" s="5"/>
      <c r="M23" s="2"/>
      <c r="N23" s="2"/>
    </row>
    <row r="24" spans="1:14" ht="18.75">
      <c r="A24" s="5"/>
      <c r="B24" s="5"/>
      <c r="C24" s="5"/>
      <c r="D24" s="5"/>
      <c r="E24" s="7"/>
      <c r="F24" s="5"/>
      <c r="G24" s="5"/>
      <c r="H24" s="5"/>
      <c r="I24" s="5"/>
      <c r="J24" s="5"/>
      <c r="K24" s="5"/>
      <c r="L24" s="5"/>
      <c r="M24" s="2"/>
      <c r="N24" s="2"/>
    </row>
    <row r="25" spans="1:14" ht="18.75">
      <c r="A25" s="5"/>
      <c r="B25" s="5"/>
      <c r="C25" s="5"/>
      <c r="D25" s="5"/>
      <c r="E25" s="7"/>
      <c r="F25" s="5"/>
      <c r="G25" s="5"/>
      <c r="H25" s="5"/>
      <c r="I25" s="5"/>
      <c r="J25" s="5"/>
      <c r="K25" s="5"/>
      <c r="L25" s="5"/>
      <c r="M25" s="2"/>
      <c r="N25" s="2"/>
    </row>
    <row r="26" spans="1:14" ht="18.75">
      <c r="A26" s="5"/>
      <c r="B26" s="5"/>
      <c r="C26" s="5"/>
      <c r="D26" s="5"/>
      <c r="E26" s="7"/>
      <c r="F26" s="5"/>
      <c r="G26" s="5"/>
      <c r="H26" s="5"/>
      <c r="I26" s="5"/>
      <c r="J26" s="5"/>
      <c r="K26" s="5"/>
      <c r="L26" s="5"/>
      <c r="M26" s="2"/>
      <c r="N26" s="2"/>
    </row>
    <row r="27" spans="1:14" ht="18.75">
      <c r="A27" s="5"/>
      <c r="B27" s="5"/>
      <c r="C27" s="5"/>
      <c r="D27" s="5"/>
      <c r="E27" s="7"/>
      <c r="F27" s="5"/>
      <c r="G27" s="5"/>
      <c r="H27" s="5"/>
      <c r="I27" s="5"/>
      <c r="J27" s="5"/>
      <c r="K27" s="5"/>
      <c r="L27" s="5"/>
      <c r="M27" s="2"/>
      <c r="N27" s="2"/>
    </row>
    <row r="28" spans="1:14" ht="18.75">
      <c r="A28" s="5"/>
      <c r="B28" s="5"/>
      <c r="C28" s="5"/>
      <c r="D28" s="5"/>
      <c r="E28" s="7"/>
      <c r="F28" s="5"/>
      <c r="G28" s="5"/>
      <c r="H28" s="5"/>
      <c r="I28" s="5"/>
      <c r="J28" s="5"/>
      <c r="K28" s="5"/>
      <c r="L28" s="5"/>
      <c r="M28" s="2"/>
      <c r="N28" s="2"/>
    </row>
    <row r="29" spans="1:14" ht="18.75">
      <c r="A29" s="5"/>
      <c r="B29" s="5"/>
      <c r="C29" s="5"/>
      <c r="D29" s="5"/>
      <c r="E29" s="7"/>
      <c r="F29" s="5"/>
      <c r="G29" s="5"/>
      <c r="H29" s="5"/>
      <c r="I29" s="5"/>
      <c r="J29" s="5"/>
      <c r="K29" s="5"/>
      <c r="L29" s="5"/>
      <c r="M29" s="2"/>
      <c r="N29" s="2"/>
    </row>
    <row r="30" spans="1:14" ht="18.75">
      <c r="A30" s="5"/>
      <c r="B30" s="5"/>
      <c r="C30" s="5"/>
      <c r="D30" s="5"/>
      <c r="E30" s="7"/>
      <c r="F30" s="5"/>
      <c r="G30" s="5"/>
      <c r="H30" s="5"/>
      <c r="I30" s="5"/>
      <c r="J30" s="5"/>
      <c r="K30" s="5"/>
      <c r="L30" s="5"/>
      <c r="M30" s="2"/>
      <c r="N30" s="2"/>
    </row>
    <row r="31" spans="1:14" ht="18.75">
      <c r="A31" s="5"/>
      <c r="B31" s="5"/>
      <c r="C31" s="5"/>
      <c r="D31" s="5"/>
      <c r="E31" s="7"/>
      <c r="F31" s="5"/>
      <c r="G31" s="5"/>
      <c r="H31" s="5"/>
      <c r="I31" s="5"/>
      <c r="J31" s="5"/>
      <c r="K31" s="5"/>
      <c r="L31" s="5"/>
      <c r="M31" s="2"/>
      <c r="N31" s="2"/>
    </row>
    <row r="32" spans="1:14" ht="18.75">
      <c r="A32" s="5"/>
      <c r="B32" s="5"/>
      <c r="C32" s="5"/>
      <c r="D32" s="5"/>
      <c r="E32" s="7"/>
      <c r="F32" s="5"/>
      <c r="G32" s="5"/>
      <c r="H32" s="5"/>
      <c r="I32" s="5"/>
      <c r="J32" s="5"/>
      <c r="K32" s="5"/>
      <c r="L32" s="5"/>
      <c r="M32" s="2"/>
      <c r="N32" s="2"/>
    </row>
    <row r="33" spans="1:14" ht="18.75">
      <c r="A33" s="5"/>
      <c r="B33" s="5"/>
      <c r="C33" s="5"/>
      <c r="D33" s="5"/>
      <c r="E33" s="7"/>
      <c r="F33" s="5"/>
      <c r="G33" s="5"/>
      <c r="H33" s="5"/>
      <c r="I33" s="5"/>
      <c r="J33" s="5"/>
      <c r="K33" s="5"/>
      <c r="L33" s="5"/>
      <c r="M33" s="2"/>
      <c r="N33" s="2"/>
    </row>
    <row r="34" spans="1:14" ht="18.75">
      <c r="A34" s="5"/>
      <c r="B34" s="5"/>
      <c r="C34" s="5"/>
      <c r="D34" s="5"/>
      <c r="E34" s="7"/>
      <c r="F34" s="5"/>
      <c r="G34" s="5"/>
      <c r="H34" s="5"/>
      <c r="I34" s="5"/>
      <c r="J34" s="5"/>
      <c r="K34" s="5"/>
      <c r="L34" s="5"/>
      <c r="M34" s="2"/>
      <c r="N34" s="2"/>
    </row>
    <row r="35" spans="1:14" ht="18.75">
      <c r="A35" s="5"/>
      <c r="B35" s="5"/>
      <c r="C35" s="5"/>
      <c r="D35" s="5"/>
      <c r="E35" s="7"/>
      <c r="F35" s="5"/>
      <c r="G35" s="5"/>
      <c r="H35" s="5"/>
      <c r="I35" s="5"/>
      <c r="J35" s="5"/>
      <c r="K35" s="5"/>
      <c r="L35" s="5"/>
      <c r="M35" s="2"/>
      <c r="N35" s="2"/>
    </row>
    <row r="36" spans="1:14" ht="18.75">
      <c r="A36" s="5"/>
      <c r="B36" s="5"/>
      <c r="C36" s="5"/>
      <c r="D36" s="5"/>
      <c r="E36" s="7"/>
      <c r="F36" s="5"/>
      <c r="G36" s="5"/>
      <c r="H36" s="5"/>
      <c r="I36" s="5"/>
      <c r="J36" s="5"/>
      <c r="K36" s="5"/>
      <c r="L36" s="5"/>
      <c r="M36" s="2"/>
      <c r="N36" s="2"/>
    </row>
    <row r="37" spans="1:14" ht="18.75">
      <c r="A37" s="5"/>
      <c r="B37" s="5"/>
      <c r="C37" s="5"/>
      <c r="D37" s="5"/>
      <c r="E37" s="7"/>
      <c r="F37" s="5"/>
      <c r="G37" s="5"/>
      <c r="H37" s="5"/>
      <c r="I37" s="5"/>
      <c r="J37" s="5"/>
      <c r="K37" s="5"/>
      <c r="L37" s="5"/>
      <c r="M37" s="2"/>
      <c r="N37" s="2"/>
    </row>
    <row r="38" spans="1:14" ht="18.75">
      <c r="A38" s="5"/>
      <c r="B38" s="5"/>
      <c r="C38" s="5"/>
      <c r="D38" s="5"/>
      <c r="E38" s="7"/>
      <c r="F38" s="5"/>
      <c r="G38" s="5"/>
      <c r="H38" s="5"/>
      <c r="I38" s="5"/>
      <c r="J38" s="5"/>
      <c r="K38" s="5"/>
      <c r="L38" s="5"/>
      <c r="M38" s="2"/>
      <c r="N38" s="2"/>
    </row>
    <row r="39" spans="1:14" ht="18.75">
      <c r="A39" s="5"/>
      <c r="B39" s="5"/>
      <c r="C39" s="5"/>
      <c r="D39" s="5"/>
      <c r="E39" s="7"/>
      <c r="F39" s="5"/>
      <c r="G39" s="5"/>
      <c r="H39" s="5"/>
      <c r="I39" s="5"/>
      <c r="J39" s="5"/>
      <c r="K39" s="5"/>
      <c r="L39" s="5"/>
      <c r="M39" s="2"/>
      <c r="N39" s="2"/>
    </row>
    <row r="40" spans="1:14" ht="18.7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2"/>
      <c r="N40" s="2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121"/>
  <sheetViews>
    <sheetView workbookViewId="0">
      <pane ySplit="1" topLeftCell="A2" activePane="bottomLeft" state="frozen"/>
      <selection pane="bottomLeft" activeCell="G1" sqref="G1"/>
    </sheetView>
  </sheetViews>
  <sheetFormatPr defaultRowHeight="14.25"/>
  <cols>
    <col min="1" max="1" width="12" style="1" customWidth="1"/>
    <col min="2" max="2" width="18" style="1" customWidth="1"/>
    <col min="3" max="3" width="22" style="1" customWidth="1"/>
    <col min="4" max="4" width="32" style="1" customWidth="1"/>
    <col min="5" max="5" width="16" style="1" customWidth="1"/>
    <col min="6" max="8" width="14" style="1" customWidth="1"/>
    <col min="9" max="10" width="10" style="1" customWidth="1"/>
    <col min="11" max="11" width="32" style="1" customWidth="1"/>
    <col min="12" max="12" width="12" style="1" customWidth="1"/>
  </cols>
  <sheetData>
    <row r="1" spans="1:14" ht="24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2"/>
      <c r="N1" s="2"/>
    </row>
    <row r="2" spans="1:14" ht="18.75">
      <c r="A2" s="5" t="str">
        <f>IF(w_a!A2="","",w_a!A2)</f>
        <v/>
      </c>
      <c r="B2" s="5" t="str">
        <f>IF(w_a!B2="","",w_a!B2)</f>
        <v/>
      </c>
      <c r="C2" s="5" t="str">
        <f>IF(w_a!E2="","",w_a!E2)</f>
        <v/>
      </c>
      <c r="D2" s="5" t="str">
        <f>IF(w_a!G2="","",w_a!G2)</f>
        <v/>
      </c>
      <c r="E2" s="5" t="str">
        <f>IF(A2="","",IF(ISNUMBER(SEARCH("対応済",w_a!G2&amp;" "&amp;w_a!H2&amp;" "&amp;w_a!K2)),"対応済",IF(ISNUMBER(SEARCH("完了",w_a!G2&amp;" "&amp;w_a!H2&amp;" "&amp;w_a!K2)),"対応済",IF(ISNUMBER(SEARCH("該当なし",w_a!G2&amp;" "&amp;w_a!H2&amp;" "&amp;w_a!K2)),"該当なし",IF(ISNUMBER(SEARCH("対象外",w_a!G2&amp;" "&amp;w_a!H2&amp;" "&amp;w_a!K2)),"該当なし",IF(ISNUMBER(SEARCH("確認中",w_a!G2&amp;" "&amp;w_a!H2&amp;" "&amp;w_a!K2)),"確認中",IF(ISNUMBER(SEARCH("対応予定",w_a!G2&amp;" "&amp;w_a!H2&amp;" "&amp;w_a!K2)),"対応予定",IF(ISNUMBER(SEARCH("未対応",w_a!G2&amp;" "&amp;w_a!H2&amp;" "&amp;w_a!K2)),"未対応","要確認"))))))))</f>
        <v/>
      </c>
      <c r="F2" s="5" t="str">
        <f t="shared" ref="F2:F31" si="0">IF(A2="","",IF(E2="該当なし","除外","提出"))</f>
        <v/>
      </c>
      <c r="G2" s="5" t="str">
        <f t="shared" ref="G2:G31" si="1">IF(A2="","",F2)</f>
        <v/>
      </c>
      <c r="H2" s="5" t="str">
        <f>IF(w_a!H2="","",w_a!H2)</f>
        <v/>
      </c>
      <c r="I2" s="5" t="str">
        <f>IF(w_a!I2="","",w_a!I2)</f>
        <v/>
      </c>
      <c r="J2" s="5" t="str">
        <f>IF(w_a!J2="","",w_a!J2)</f>
        <v/>
      </c>
      <c r="K2" s="5" t="str">
        <f>IF(w_a!K2="","",w_a!K2)</f>
        <v/>
      </c>
      <c r="L2" s="5" t="str">
        <f t="shared" ref="L2:L31" si="2">IF(A2="","",IF(OR(C2="",E2="要確認"),"確認","OK"))</f>
        <v/>
      </c>
      <c r="M2" s="2"/>
      <c r="N2" s="2"/>
    </row>
    <row r="3" spans="1:14" ht="18.75">
      <c r="A3" s="5" t="str">
        <f>IF(w_a!A3="","",w_a!A3)</f>
        <v/>
      </c>
      <c r="B3" s="5" t="str">
        <f>IF(w_a!B3="","",w_a!B3)</f>
        <v/>
      </c>
      <c r="C3" s="5" t="str">
        <f>IF(w_a!E3="","",w_a!E3)</f>
        <v/>
      </c>
      <c r="D3" s="5" t="str">
        <f>IF(w_a!G3="","",w_a!G3)</f>
        <v/>
      </c>
      <c r="E3" s="5" t="str">
        <f>IF(A3="","",IF(ISNUMBER(SEARCH("対応済",w_a!G3&amp;" "&amp;w_a!H3&amp;" "&amp;w_a!K3)),"対応済",IF(ISNUMBER(SEARCH("完了",w_a!G3&amp;" "&amp;w_a!H3&amp;" "&amp;w_a!K3)),"対応済",IF(ISNUMBER(SEARCH("該当なし",w_a!G3&amp;" "&amp;w_a!H3&amp;" "&amp;w_a!K3)),"該当なし",IF(ISNUMBER(SEARCH("対象外",w_a!G3&amp;" "&amp;w_a!H3&amp;" "&amp;w_a!K3)),"該当なし",IF(ISNUMBER(SEARCH("確認中",w_a!G3&amp;" "&amp;w_a!H3&amp;" "&amp;w_a!K3)),"確認中",IF(ISNUMBER(SEARCH("対応予定",w_a!G3&amp;" "&amp;w_a!H3&amp;" "&amp;w_a!K3)),"対応予定",IF(ISNUMBER(SEARCH("未対応",w_a!G3&amp;" "&amp;w_a!H3&amp;" "&amp;w_a!K3)),"未対応","要確認"))))))))</f>
        <v/>
      </c>
      <c r="F3" s="5" t="str">
        <f t="shared" si="0"/>
        <v/>
      </c>
      <c r="G3" s="5" t="str">
        <f t="shared" si="1"/>
        <v/>
      </c>
      <c r="H3" s="5" t="str">
        <f>IF(w_a!H3="","",w_a!H3)</f>
        <v/>
      </c>
      <c r="I3" s="5" t="str">
        <f>IF(w_a!I3="","",w_a!I3)</f>
        <v/>
      </c>
      <c r="J3" s="5" t="str">
        <f>IF(w_a!J3="","",w_a!J3)</f>
        <v/>
      </c>
      <c r="K3" s="5" t="str">
        <f>IF(w_a!K3="","",w_a!K3)</f>
        <v/>
      </c>
      <c r="L3" s="5" t="str">
        <f t="shared" si="2"/>
        <v/>
      </c>
      <c r="M3" s="2"/>
      <c r="N3" s="2"/>
    </row>
    <row r="4" spans="1:14" ht="18.75">
      <c r="A4" s="5" t="str">
        <f>IF(w_a!A4="","",w_a!A4)</f>
        <v/>
      </c>
      <c r="B4" s="5" t="str">
        <f>IF(w_a!B4="","",w_a!B4)</f>
        <v/>
      </c>
      <c r="C4" s="5" t="str">
        <f>IF(w_a!E4="","",w_a!E4)</f>
        <v/>
      </c>
      <c r="D4" s="5" t="str">
        <f>IF(w_a!G4="","",w_a!G4)</f>
        <v/>
      </c>
      <c r="E4" s="5" t="str">
        <f>IF(A4="","",IF(ISNUMBER(SEARCH("対応済",w_a!G4&amp;" "&amp;w_a!H4&amp;" "&amp;w_a!K4)),"対応済",IF(ISNUMBER(SEARCH("完了",w_a!G4&amp;" "&amp;w_a!H4&amp;" "&amp;w_a!K4)),"対応済",IF(ISNUMBER(SEARCH("該当なし",w_a!G4&amp;" "&amp;w_a!H4&amp;" "&amp;w_a!K4)),"該当なし",IF(ISNUMBER(SEARCH("対象外",w_a!G4&amp;" "&amp;w_a!H4&amp;" "&amp;w_a!K4)),"該当なし",IF(ISNUMBER(SEARCH("確認中",w_a!G4&amp;" "&amp;w_a!H4&amp;" "&amp;w_a!K4)),"確認中",IF(ISNUMBER(SEARCH("対応予定",w_a!G4&amp;" "&amp;w_a!H4&amp;" "&amp;w_a!K4)),"対応予定",IF(ISNUMBER(SEARCH("未対応",w_a!G4&amp;" "&amp;w_a!H4&amp;" "&amp;w_a!K4)),"未対応","要確認"))))))))</f>
        <v/>
      </c>
      <c r="F4" s="5" t="str">
        <f t="shared" si="0"/>
        <v/>
      </c>
      <c r="G4" s="5" t="str">
        <f t="shared" si="1"/>
        <v/>
      </c>
      <c r="H4" s="5" t="str">
        <f>IF(w_a!H4="","",w_a!H4)</f>
        <v/>
      </c>
      <c r="I4" s="5" t="str">
        <f>IF(w_a!I4="","",w_a!I4)</f>
        <v/>
      </c>
      <c r="J4" s="5" t="str">
        <f>IF(w_a!J4="","",w_a!J4)</f>
        <v/>
      </c>
      <c r="K4" s="5" t="str">
        <f>IF(w_a!K4="","",w_a!K4)</f>
        <v/>
      </c>
      <c r="L4" s="5" t="str">
        <f t="shared" si="2"/>
        <v/>
      </c>
      <c r="M4" s="2"/>
      <c r="N4" s="2"/>
    </row>
    <row r="5" spans="1:14" ht="18.75">
      <c r="A5" s="5" t="str">
        <f>IF(w_a!A5="","",w_a!A5)</f>
        <v/>
      </c>
      <c r="B5" s="5" t="str">
        <f>IF(w_a!B5="","",w_a!B5)</f>
        <v/>
      </c>
      <c r="C5" s="5" t="str">
        <f>IF(w_a!E5="","",w_a!E5)</f>
        <v/>
      </c>
      <c r="D5" s="5" t="str">
        <f>IF(w_a!G5="","",w_a!G5)</f>
        <v/>
      </c>
      <c r="E5" s="5" t="str">
        <f>IF(A5="","",IF(ISNUMBER(SEARCH("対応済",w_a!G5&amp;" "&amp;w_a!H5&amp;" "&amp;w_a!K5)),"対応済",IF(ISNUMBER(SEARCH("完了",w_a!G5&amp;" "&amp;w_a!H5&amp;" "&amp;w_a!K5)),"対応済",IF(ISNUMBER(SEARCH("該当なし",w_a!G5&amp;" "&amp;w_a!H5&amp;" "&amp;w_a!K5)),"該当なし",IF(ISNUMBER(SEARCH("対象外",w_a!G5&amp;" "&amp;w_a!H5&amp;" "&amp;w_a!K5)),"該当なし",IF(ISNUMBER(SEARCH("確認中",w_a!G5&amp;" "&amp;w_a!H5&amp;" "&amp;w_a!K5)),"確認中",IF(ISNUMBER(SEARCH("対応予定",w_a!G5&amp;" "&amp;w_a!H5&amp;" "&amp;w_a!K5)),"対応予定",IF(ISNUMBER(SEARCH("未対応",w_a!G5&amp;" "&amp;w_a!H5&amp;" "&amp;w_a!K5)),"未対応","要確認"))))))))</f>
        <v/>
      </c>
      <c r="F5" s="5" t="str">
        <f t="shared" si="0"/>
        <v/>
      </c>
      <c r="G5" s="5" t="str">
        <f t="shared" si="1"/>
        <v/>
      </c>
      <c r="H5" s="5" t="str">
        <f>IF(w_a!H5="","",w_a!H5)</f>
        <v/>
      </c>
      <c r="I5" s="5" t="str">
        <f>IF(w_a!I5="","",w_a!I5)</f>
        <v/>
      </c>
      <c r="J5" s="5" t="str">
        <f>IF(w_a!J5="","",w_a!J5)</f>
        <v/>
      </c>
      <c r="K5" s="5" t="str">
        <f>IF(w_a!K5="","",w_a!K5)</f>
        <v/>
      </c>
      <c r="L5" s="5" t="str">
        <f t="shared" si="2"/>
        <v/>
      </c>
      <c r="M5" s="2"/>
      <c r="N5" s="2"/>
    </row>
    <row r="6" spans="1:14" ht="18.75">
      <c r="A6" s="5" t="str">
        <f>IF(w_a!A6="","",w_a!A6)</f>
        <v/>
      </c>
      <c r="B6" s="5" t="str">
        <f>IF(w_a!B6="","",w_a!B6)</f>
        <v/>
      </c>
      <c r="C6" s="5" t="str">
        <f>IF(w_a!E6="","",w_a!E6)</f>
        <v/>
      </c>
      <c r="D6" s="5" t="str">
        <f>IF(w_a!G6="","",w_a!G6)</f>
        <v/>
      </c>
      <c r="E6" s="5" t="str">
        <f>IF(A6="","",IF(ISNUMBER(SEARCH("対応済",w_a!G6&amp;" "&amp;w_a!H6&amp;" "&amp;w_a!K6)),"対応済",IF(ISNUMBER(SEARCH("完了",w_a!G6&amp;" "&amp;w_a!H6&amp;" "&amp;w_a!K6)),"対応済",IF(ISNUMBER(SEARCH("該当なし",w_a!G6&amp;" "&amp;w_a!H6&amp;" "&amp;w_a!K6)),"該当なし",IF(ISNUMBER(SEARCH("対象外",w_a!G6&amp;" "&amp;w_a!H6&amp;" "&amp;w_a!K6)),"該当なし",IF(ISNUMBER(SEARCH("確認中",w_a!G6&amp;" "&amp;w_a!H6&amp;" "&amp;w_a!K6)),"確認中",IF(ISNUMBER(SEARCH("対応予定",w_a!G6&amp;" "&amp;w_a!H6&amp;" "&amp;w_a!K6)),"対応予定",IF(ISNUMBER(SEARCH("未対応",w_a!G6&amp;" "&amp;w_a!H6&amp;" "&amp;w_a!K6)),"未対応","要確認"))))))))</f>
        <v/>
      </c>
      <c r="F6" s="5" t="str">
        <f t="shared" si="0"/>
        <v/>
      </c>
      <c r="G6" s="5" t="str">
        <f t="shared" si="1"/>
        <v/>
      </c>
      <c r="H6" s="5" t="str">
        <f>IF(w_a!H6="","",w_a!H6)</f>
        <v/>
      </c>
      <c r="I6" s="5" t="str">
        <f>IF(w_a!I6="","",w_a!I6)</f>
        <v/>
      </c>
      <c r="J6" s="5" t="str">
        <f>IF(w_a!J6="","",w_a!J6)</f>
        <v/>
      </c>
      <c r="K6" s="5" t="str">
        <f>IF(w_a!K6="","",w_a!K6)</f>
        <v/>
      </c>
      <c r="L6" s="5" t="str">
        <f t="shared" si="2"/>
        <v/>
      </c>
      <c r="M6" s="2"/>
      <c r="N6" s="2"/>
    </row>
    <row r="7" spans="1:14" ht="18.75">
      <c r="A7" s="5" t="str">
        <f>IF(w_a!A7="","",w_a!A7)</f>
        <v/>
      </c>
      <c r="B7" s="5" t="str">
        <f>IF(w_a!B7="","",w_a!B7)</f>
        <v/>
      </c>
      <c r="C7" s="5" t="str">
        <f>IF(w_a!E7="","",w_a!E7)</f>
        <v/>
      </c>
      <c r="D7" s="5" t="str">
        <f>IF(w_a!G7="","",w_a!G7)</f>
        <v/>
      </c>
      <c r="E7" s="5" t="str">
        <f>IF(A7="","",IF(ISNUMBER(SEARCH("対応済",w_a!G7&amp;" "&amp;w_a!H7&amp;" "&amp;w_a!K7)),"対応済",IF(ISNUMBER(SEARCH("完了",w_a!G7&amp;" "&amp;w_a!H7&amp;" "&amp;w_a!K7)),"対応済",IF(ISNUMBER(SEARCH("該当なし",w_a!G7&amp;" "&amp;w_a!H7&amp;" "&amp;w_a!K7)),"該当なし",IF(ISNUMBER(SEARCH("対象外",w_a!G7&amp;" "&amp;w_a!H7&amp;" "&amp;w_a!K7)),"該当なし",IF(ISNUMBER(SEARCH("確認中",w_a!G7&amp;" "&amp;w_a!H7&amp;" "&amp;w_a!K7)),"確認中",IF(ISNUMBER(SEARCH("対応予定",w_a!G7&amp;" "&amp;w_a!H7&amp;" "&amp;w_a!K7)),"対応予定",IF(ISNUMBER(SEARCH("未対応",w_a!G7&amp;" "&amp;w_a!H7&amp;" "&amp;w_a!K7)),"未対応","要確認"))))))))</f>
        <v/>
      </c>
      <c r="F7" s="5" t="str">
        <f t="shared" si="0"/>
        <v/>
      </c>
      <c r="G7" s="5" t="str">
        <f t="shared" si="1"/>
        <v/>
      </c>
      <c r="H7" s="5" t="str">
        <f>IF(w_a!H7="","",w_a!H7)</f>
        <v/>
      </c>
      <c r="I7" s="5" t="str">
        <f>IF(w_a!I7="","",w_a!I7)</f>
        <v/>
      </c>
      <c r="J7" s="5" t="str">
        <f>IF(w_a!J7="","",w_a!J7)</f>
        <v/>
      </c>
      <c r="K7" s="5" t="str">
        <f>IF(w_a!K7="","",w_a!K7)</f>
        <v/>
      </c>
      <c r="L7" s="5" t="str">
        <f t="shared" si="2"/>
        <v/>
      </c>
      <c r="M7" s="2"/>
      <c r="N7" s="2"/>
    </row>
    <row r="8" spans="1:14" ht="18.75">
      <c r="A8" s="5" t="str">
        <f>IF(w_a!A8="","",w_a!A8)</f>
        <v/>
      </c>
      <c r="B8" s="5" t="str">
        <f>IF(w_a!B8="","",w_a!B8)</f>
        <v/>
      </c>
      <c r="C8" s="5" t="str">
        <f>IF(w_a!E8="","",w_a!E8)</f>
        <v/>
      </c>
      <c r="D8" s="5" t="str">
        <f>IF(w_a!G8="","",w_a!G8)</f>
        <v/>
      </c>
      <c r="E8" s="5" t="str">
        <f>IF(A8="","",IF(ISNUMBER(SEARCH("対応済",w_a!G8&amp;" "&amp;w_a!H8&amp;" "&amp;w_a!K8)),"対応済",IF(ISNUMBER(SEARCH("完了",w_a!G8&amp;" "&amp;w_a!H8&amp;" "&amp;w_a!K8)),"対応済",IF(ISNUMBER(SEARCH("該当なし",w_a!G8&amp;" "&amp;w_a!H8&amp;" "&amp;w_a!K8)),"該当なし",IF(ISNUMBER(SEARCH("対象外",w_a!G8&amp;" "&amp;w_a!H8&amp;" "&amp;w_a!K8)),"該当なし",IF(ISNUMBER(SEARCH("確認中",w_a!G8&amp;" "&amp;w_a!H8&amp;" "&amp;w_a!K8)),"確認中",IF(ISNUMBER(SEARCH("対応予定",w_a!G8&amp;" "&amp;w_a!H8&amp;" "&amp;w_a!K8)),"対応予定",IF(ISNUMBER(SEARCH("未対応",w_a!G8&amp;" "&amp;w_a!H8&amp;" "&amp;w_a!K8)),"未対応","要確認"))))))))</f>
        <v/>
      </c>
      <c r="F8" s="5" t="str">
        <f t="shared" si="0"/>
        <v/>
      </c>
      <c r="G8" s="5" t="str">
        <f t="shared" si="1"/>
        <v/>
      </c>
      <c r="H8" s="5" t="str">
        <f>IF(w_a!H8="","",w_a!H8)</f>
        <v/>
      </c>
      <c r="I8" s="5" t="str">
        <f>IF(w_a!I8="","",w_a!I8)</f>
        <v/>
      </c>
      <c r="J8" s="5" t="str">
        <f>IF(w_a!J8="","",w_a!J8)</f>
        <v/>
      </c>
      <c r="K8" s="5" t="str">
        <f>IF(w_a!K8="","",w_a!K8)</f>
        <v/>
      </c>
      <c r="L8" s="5" t="str">
        <f t="shared" si="2"/>
        <v/>
      </c>
      <c r="M8" s="2"/>
      <c r="N8" s="2"/>
    </row>
    <row r="9" spans="1:14" ht="18.75">
      <c r="A9" s="5" t="str">
        <f>IF(w_a!A9="","",w_a!A9)</f>
        <v/>
      </c>
      <c r="B9" s="5" t="str">
        <f>IF(w_a!B9="","",w_a!B9)</f>
        <v/>
      </c>
      <c r="C9" s="5" t="str">
        <f>IF(w_a!E9="","",w_a!E9)</f>
        <v/>
      </c>
      <c r="D9" s="5" t="str">
        <f>IF(w_a!G9="","",w_a!G9)</f>
        <v/>
      </c>
      <c r="E9" s="5" t="str">
        <f>IF(A9="","",IF(ISNUMBER(SEARCH("対応済",w_a!G9&amp;" "&amp;w_a!H9&amp;" "&amp;w_a!K9)),"対応済",IF(ISNUMBER(SEARCH("完了",w_a!G9&amp;" "&amp;w_a!H9&amp;" "&amp;w_a!K9)),"対応済",IF(ISNUMBER(SEARCH("該当なし",w_a!G9&amp;" "&amp;w_a!H9&amp;" "&amp;w_a!K9)),"該当なし",IF(ISNUMBER(SEARCH("対象外",w_a!G9&amp;" "&amp;w_a!H9&amp;" "&amp;w_a!K9)),"該当なし",IF(ISNUMBER(SEARCH("確認中",w_a!G9&amp;" "&amp;w_a!H9&amp;" "&amp;w_a!K9)),"確認中",IF(ISNUMBER(SEARCH("対応予定",w_a!G9&amp;" "&amp;w_a!H9&amp;" "&amp;w_a!K9)),"対応予定",IF(ISNUMBER(SEARCH("未対応",w_a!G9&amp;" "&amp;w_a!H9&amp;" "&amp;w_a!K9)),"未対応","要確認"))))))))</f>
        <v/>
      </c>
      <c r="F9" s="5" t="str">
        <f t="shared" si="0"/>
        <v/>
      </c>
      <c r="G9" s="5" t="str">
        <f t="shared" si="1"/>
        <v/>
      </c>
      <c r="H9" s="5" t="str">
        <f>IF(w_a!H9="","",w_a!H9)</f>
        <v/>
      </c>
      <c r="I9" s="5" t="str">
        <f>IF(w_a!I9="","",w_a!I9)</f>
        <v/>
      </c>
      <c r="J9" s="5" t="str">
        <f>IF(w_a!J9="","",w_a!J9)</f>
        <v/>
      </c>
      <c r="K9" s="5" t="str">
        <f>IF(w_a!K9="","",w_a!K9)</f>
        <v/>
      </c>
      <c r="L9" s="5" t="str">
        <f t="shared" si="2"/>
        <v/>
      </c>
      <c r="M9" s="2"/>
      <c r="N9" s="2"/>
    </row>
    <row r="10" spans="1:14" ht="18.75">
      <c r="A10" s="5" t="str">
        <f>IF(w_a!A10="","",w_a!A10)</f>
        <v/>
      </c>
      <c r="B10" s="5" t="str">
        <f>IF(w_a!B10="","",w_a!B10)</f>
        <v/>
      </c>
      <c r="C10" s="5" t="str">
        <f>IF(w_a!E10="","",w_a!E10)</f>
        <v/>
      </c>
      <c r="D10" s="5" t="str">
        <f>IF(w_a!G10="","",w_a!G10)</f>
        <v/>
      </c>
      <c r="E10" s="5" t="str">
        <f>IF(A10="","",IF(ISNUMBER(SEARCH("対応済",w_a!G10&amp;" "&amp;w_a!H10&amp;" "&amp;w_a!K10)),"対応済",IF(ISNUMBER(SEARCH("完了",w_a!G10&amp;" "&amp;w_a!H10&amp;" "&amp;w_a!K10)),"対応済",IF(ISNUMBER(SEARCH("該当なし",w_a!G10&amp;" "&amp;w_a!H10&amp;" "&amp;w_a!K10)),"該当なし",IF(ISNUMBER(SEARCH("対象外",w_a!G10&amp;" "&amp;w_a!H10&amp;" "&amp;w_a!K10)),"該当なし",IF(ISNUMBER(SEARCH("確認中",w_a!G10&amp;" "&amp;w_a!H10&amp;" "&amp;w_a!K10)),"確認中",IF(ISNUMBER(SEARCH("対応予定",w_a!G10&amp;" "&amp;w_a!H10&amp;" "&amp;w_a!K10)),"対応予定",IF(ISNUMBER(SEARCH("未対応",w_a!G10&amp;" "&amp;w_a!H10&amp;" "&amp;w_a!K10)),"未対応","要確認"))))))))</f>
        <v/>
      </c>
      <c r="F10" s="5" t="str">
        <f t="shared" si="0"/>
        <v/>
      </c>
      <c r="G10" s="5" t="str">
        <f t="shared" si="1"/>
        <v/>
      </c>
      <c r="H10" s="5" t="str">
        <f>IF(w_a!H10="","",w_a!H10)</f>
        <v/>
      </c>
      <c r="I10" s="5" t="str">
        <f>IF(w_a!I10="","",w_a!I10)</f>
        <v/>
      </c>
      <c r="J10" s="5" t="str">
        <f>IF(w_a!J10="","",w_a!J10)</f>
        <v/>
      </c>
      <c r="K10" s="5" t="str">
        <f>IF(w_a!K10="","",w_a!K10)</f>
        <v/>
      </c>
      <c r="L10" s="5" t="str">
        <f t="shared" si="2"/>
        <v/>
      </c>
      <c r="M10" s="2"/>
      <c r="N10" s="2"/>
    </row>
    <row r="11" spans="1:14" ht="18.75">
      <c r="A11" s="5" t="str">
        <f>IF(w_a!A11="","",w_a!A11)</f>
        <v/>
      </c>
      <c r="B11" s="5" t="str">
        <f>IF(w_a!B11="","",w_a!B11)</f>
        <v/>
      </c>
      <c r="C11" s="5" t="str">
        <f>IF(w_a!E11="","",w_a!E11)</f>
        <v/>
      </c>
      <c r="D11" s="5" t="str">
        <f>IF(w_a!G11="","",w_a!G11)</f>
        <v/>
      </c>
      <c r="E11" s="5" t="str">
        <f>IF(A11="","",IF(ISNUMBER(SEARCH("対応済",w_a!G11&amp;" "&amp;w_a!H11&amp;" "&amp;w_a!K11)),"対応済",IF(ISNUMBER(SEARCH("完了",w_a!G11&amp;" "&amp;w_a!H11&amp;" "&amp;w_a!K11)),"対応済",IF(ISNUMBER(SEARCH("該当なし",w_a!G11&amp;" "&amp;w_a!H11&amp;" "&amp;w_a!K11)),"該当なし",IF(ISNUMBER(SEARCH("対象外",w_a!G11&amp;" "&amp;w_a!H11&amp;" "&amp;w_a!K11)),"該当なし",IF(ISNUMBER(SEARCH("確認中",w_a!G11&amp;" "&amp;w_a!H11&amp;" "&amp;w_a!K11)),"確認中",IF(ISNUMBER(SEARCH("対応予定",w_a!G11&amp;" "&amp;w_a!H11&amp;" "&amp;w_a!K11)),"対応予定",IF(ISNUMBER(SEARCH("未対応",w_a!G11&amp;" "&amp;w_a!H11&amp;" "&amp;w_a!K11)),"未対応","要確認"))))))))</f>
        <v/>
      </c>
      <c r="F11" s="5" t="str">
        <f t="shared" si="0"/>
        <v/>
      </c>
      <c r="G11" s="5" t="str">
        <f t="shared" si="1"/>
        <v/>
      </c>
      <c r="H11" s="5" t="str">
        <f>IF(w_a!H11="","",w_a!H11)</f>
        <v/>
      </c>
      <c r="I11" s="5" t="str">
        <f>IF(w_a!I11="","",w_a!I11)</f>
        <v/>
      </c>
      <c r="J11" s="5" t="str">
        <f>IF(w_a!J11="","",w_a!J11)</f>
        <v/>
      </c>
      <c r="K11" s="5" t="str">
        <f>IF(w_a!K11="","",w_a!K11)</f>
        <v/>
      </c>
      <c r="L11" s="5" t="str">
        <f t="shared" si="2"/>
        <v/>
      </c>
      <c r="M11" s="2"/>
      <c r="N11" s="2"/>
    </row>
    <row r="12" spans="1:14" ht="18.75">
      <c r="A12" s="5" t="str">
        <f>IF(w_a!A12="","",w_a!A12)</f>
        <v/>
      </c>
      <c r="B12" s="5" t="str">
        <f>IF(w_a!B12="","",w_a!B12)</f>
        <v/>
      </c>
      <c r="C12" s="5" t="str">
        <f>IF(w_a!E12="","",w_a!E12)</f>
        <v/>
      </c>
      <c r="D12" s="5" t="str">
        <f>IF(w_a!G12="","",w_a!G12)</f>
        <v/>
      </c>
      <c r="E12" s="5" t="str">
        <f>IF(A12="","",IF(ISNUMBER(SEARCH("対応済",w_a!G12&amp;" "&amp;w_a!H12&amp;" "&amp;w_a!K12)),"対応済",IF(ISNUMBER(SEARCH("完了",w_a!G12&amp;" "&amp;w_a!H12&amp;" "&amp;w_a!K12)),"対応済",IF(ISNUMBER(SEARCH("該当なし",w_a!G12&amp;" "&amp;w_a!H12&amp;" "&amp;w_a!K12)),"該当なし",IF(ISNUMBER(SEARCH("対象外",w_a!G12&amp;" "&amp;w_a!H12&amp;" "&amp;w_a!K12)),"該当なし",IF(ISNUMBER(SEARCH("確認中",w_a!G12&amp;" "&amp;w_a!H12&amp;" "&amp;w_a!K12)),"確認中",IF(ISNUMBER(SEARCH("対応予定",w_a!G12&amp;" "&amp;w_a!H12&amp;" "&amp;w_a!K12)),"対応予定",IF(ISNUMBER(SEARCH("未対応",w_a!G12&amp;" "&amp;w_a!H12&amp;" "&amp;w_a!K12)),"未対応","要確認"))))))))</f>
        <v/>
      </c>
      <c r="F12" s="5" t="str">
        <f t="shared" si="0"/>
        <v/>
      </c>
      <c r="G12" s="5" t="str">
        <f t="shared" si="1"/>
        <v/>
      </c>
      <c r="H12" s="5" t="str">
        <f>IF(w_a!H12="","",w_a!H12)</f>
        <v/>
      </c>
      <c r="I12" s="5" t="str">
        <f>IF(w_a!I12="","",w_a!I12)</f>
        <v/>
      </c>
      <c r="J12" s="5" t="str">
        <f>IF(w_a!J12="","",w_a!J12)</f>
        <v/>
      </c>
      <c r="K12" s="5" t="str">
        <f>IF(w_a!K12="","",w_a!K12)</f>
        <v/>
      </c>
      <c r="L12" s="5" t="str">
        <f t="shared" si="2"/>
        <v/>
      </c>
      <c r="M12" s="2"/>
      <c r="N12" s="2"/>
    </row>
    <row r="13" spans="1:14" ht="18.75">
      <c r="A13" s="5" t="str">
        <f>IF(w_a!A13="","",w_a!A13)</f>
        <v/>
      </c>
      <c r="B13" s="5" t="str">
        <f>IF(w_a!B13="","",w_a!B13)</f>
        <v/>
      </c>
      <c r="C13" s="5" t="str">
        <f>IF(w_a!E13="","",w_a!E13)</f>
        <v/>
      </c>
      <c r="D13" s="5" t="str">
        <f>IF(w_a!G13="","",w_a!G13)</f>
        <v/>
      </c>
      <c r="E13" s="5" t="str">
        <f>IF(A13="","",IF(ISNUMBER(SEARCH("対応済",w_a!G13&amp;" "&amp;w_a!H13&amp;" "&amp;w_a!K13)),"対応済",IF(ISNUMBER(SEARCH("完了",w_a!G13&amp;" "&amp;w_a!H13&amp;" "&amp;w_a!K13)),"対応済",IF(ISNUMBER(SEARCH("該当なし",w_a!G13&amp;" "&amp;w_a!H13&amp;" "&amp;w_a!K13)),"該当なし",IF(ISNUMBER(SEARCH("対象外",w_a!G13&amp;" "&amp;w_a!H13&amp;" "&amp;w_a!K13)),"該当なし",IF(ISNUMBER(SEARCH("確認中",w_a!G13&amp;" "&amp;w_a!H13&amp;" "&amp;w_a!K13)),"確認中",IF(ISNUMBER(SEARCH("対応予定",w_a!G13&amp;" "&amp;w_a!H13&amp;" "&amp;w_a!K13)),"対応予定",IF(ISNUMBER(SEARCH("未対応",w_a!G13&amp;" "&amp;w_a!H13&amp;" "&amp;w_a!K13)),"未対応","要確認"))))))))</f>
        <v/>
      </c>
      <c r="F13" s="5" t="str">
        <f t="shared" si="0"/>
        <v/>
      </c>
      <c r="G13" s="5" t="str">
        <f t="shared" si="1"/>
        <v/>
      </c>
      <c r="H13" s="5" t="str">
        <f>IF(w_a!H13="","",w_a!H13)</f>
        <v/>
      </c>
      <c r="I13" s="5" t="str">
        <f>IF(w_a!I13="","",w_a!I13)</f>
        <v/>
      </c>
      <c r="J13" s="5" t="str">
        <f>IF(w_a!J13="","",w_a!J13)</f>
        <v/>
      </c>
      <c r="K13" s="5" t="str">
        <f>IF(w_a!K13="","",w_a!K13)</f>
        <v/>
      </c>
      <c r="L13" s="5" t="str">
        <f t="shared" si="2"/>
        <v/>
      </c>
      <c r="M13" s="2"/>
      <c r="N13" s="2"/>
    </row>
    <row r="14" spans="1:14" ht="18.75">
      <c r="A14" s="5" t="str">
        <f>IF(w_a!A14="","",w_a!A14)</f>
        <v/>
      </c>
      <c r="B14" s="5" t="str">
        <f>IF(w_a!B14="","",w_a!B14)</f>
        <v/>
      </c>
      <c r="C14" s="5" t="str">
        <f>IF(w_a!E14="","",w_a!E14)</f>
        <v/>
      </c>
      <c r="D14" s="5" t="str">
        <f>IF(w_a!G14="","",w_a!G14)</f>
        <v/>
      </c>
      <c r="E14" s="5" t="str">
        <f>IF(A14="","",IF(ISNUMBER(SEARCH("対応済",w_a!G14&amp;" "&amp;w_a!H14&amp;" "&amp;w_a!K14)),"対応済",IF(ISNUMBER(SEARCH("完了",w_a!G14&amp;" "&amp;w_a!H14&amp;" "&amp;w_a!K14)),"対応済",IF(ISNUMBER(SEARCH("該当なし",w_a!G14&amp;" "&amp;w_a!H14&amp;" "&amp;w_a!K14)),"該当なし",IF(ISNUMBER(SEARCH("対象外",w_a!G14&amp;" "&amp;w_a!H14&amp;" "&amp;w_a!K14)),"該当なし",IF(ISNUMBER(SEARCH("確認中",w_a!G14&amp;" "&amp;w_a!H14&amp;" "&amp;w_a!K14)),"確認中",IF(ISNUMBER(SEARCH("対応予定",w_a!G14&amp;" "&amp;w_a!H14&amp;" "&amp;w_a!K14)),"対応予定",IF(ISNUMBER(SEARCH("未対応",w_a!G14&amp;" "&amp;w_a!H14&amp;" "&amp;w_a!K14)),"未対応","要確認"))))))))</f>
        <v/>
      </c>
      <c r="F14" s="5" t="str">
        <f t="shared" si="0"/>
        <v/>
      </c>
      <c r="G14" s="5" t="str">
        <f t="shared" si="1"/>
        <v/>
      </c>
      <c r="H14" s="5" t="str">
        <f>IF(w_a!H14="","",w_a!H14)</f>
        <v/>
      </c>
      <c r="I14" s="5" t="str">
        <f>IF(w_a!I14="","",w_a!I14)</f>
        <v/>
      </c>
      <c r="J14" s="5" t="str">
        <f>IF(w_a!J14="","",w_a!J14)</f>
        <v/>
      </c>
      <c r="K14" s="5" t="str">
        <f>IF(w_a!K14="","",w_a!K14)</f>
        <v/>
      </c>
      <c r="L14" s="5" t="str">
        <f t="shared" si="2"/>
        <v/>
      </c>
      <c r="M14" s="2"/>
      <c r="N14" s="2"/>
    </row>
    <row r="15" spans="1:14" ht="18.75">
      <c r="A15" s="5" t="str">
        <f>IF(w_a!A15="","",w_a!A15)</f>
        <v/>
      </c>
      <c r="B15" s="5" t="str">
        <f>IF(w_a!B15="","",w_a!B15)</f>
        <v/>
      </c>
      <c r="C15" s="5" t="str">
        <f>IF(w_a!E15="","",w_a!E15)</f>
        <v/>
      </c>
      <c r="D15" s="5" t="str">
        <f>IF(w_a!G15="","",w_a!G15)</f>
        <v/>
      </c>
      <c r="E15" s="5" t="str">
        <f>IF(A15="","",IF(ISNUMBER(SEARCH("対応済",w_a!G15&amp;" "&amp;w_a!H15&amp;" "&amp;w_a!K15)),"対応済",IF(ISNUMBER(SEARCH("完了",w_a!G15&amp;" "&amp;w_a!H15&amp;" "&amp;w_a!K15)),"対応済",IF(ISNUMBER(SEARCH("該当なし",w_a!G15&amp;" "&amp;w_a!H15&amp;" "&amp;w_a!K15)),"該当なし",IF(ISNUMBER(SEARCH("対象外",w_a!G15&amp;" "&amp;w_a!H15&amp;" "&amp;w_a!K15)),"該当なし",IF(ISNUMBER(SEARCH("確認中",w_a!G15&amp;" "&amp;w_a!H15&amp;" "&amp;w_a!K15)),"確認中",IF(ISNUMBER(SEARCH("対応予定",w_a!G15&amp;" "&amp;w_a!H15&amp;" "&amp;w_a!K15)),"対応予定",IF(ISNUMBER(SEARCH("未対応",w_a!G15&amp;" "&amp;w_a!H15&amp;" "&amp;w_a!K15)),"未対応","要確認"))))))))</f>
        <v/>
      </c>
      <c r="F15" s="5" t="str">
        <f t="shared" si="0"/>
        <v/>
      </c>
      <c r="G15" s="5" t="str">
        <f t="shared" si="1"/>
        <v/>
      </c>
      <c r="H15" s="5" t="str">
        <f>IF(w_a!H15="","",w_a!H15)</f>
        <v/>
      </c>
      <c r="I15" s="5" t="str">
        <f>IF(w_a!I15="","",w_a!I15)</f>
        <v/>
      </c>
      <c r="J15" s="5" t="str">
        <f>IF(w_a!J15="","",w_a!J15)</f>
        <v/>
      </c>
      <c r="K15" s="5" t="str">
        <f>IF(w_a!K15="","",w_a!K15)</f>
        <v/>
      </c>
      <c r="L15" s="5" t="str">
        <f t="shared" si="2"/>
        <v/>
      </c>
      <c r="M15" s="2"/>
      <c r="N15" s="2"/>
    </row>
    <row r="16" spans="1:14" ht="18.75">
      <c r="A16" s="5" t="str">
        <f>IF(w_a!A16="","",w_a!A16)</f>
        <v/>
      </c>
      <c r="B16" s="5" t="str">
        <f>IF(w_a!B16="","",w_a!B16)</f>
        <v/>
      </c>
      <c r="C16" s="5" t="str">
        <f>IF(w_a!E16="","",w_a!E16)</f>
        <v/>
      </c>
      <c r="D16" s="5" t="str">
        <f>IF(w_a!G16="","",w_a!G16)</f>
        <v/>
      </c>
      <c r="E16" s="5" t="str">
        <f>IF(A16="","",IF(ISNUMBER(SEARCH("対応済",w_a!G16&amp;" "&amp;w_a!H16&amp;" "&amp;w_a!K16)),"対応済",IF(ISNUMBER(SEARCH("完了",w_a!G16&amp;" "&amp;w_a!H16&amp;" "&amp;w_a!K16)),"対応済",IF(ISNUMBER(SEARCH("該当なし",w_a!G16&amp;" "&amp;w_a!H16&amp;" "&amp;w_a!K16)),"該当なし",IF(ISNUMBER(SEARCH("対象外",w_a!G16&amp;" "&amp;w_a!H16&amp;" "&amp;w_a!K16)),"該当なし",IF(ISNUMBER(SEARCH("確認中",w_a!G16&amp;" "&amp;w_a!H16&amp;" "&amp;w_a!K16)),"確認中",IF(ISNUMBER(SEARCH("対応予定",w_a!G16&amp;" "&amp;w_a!H16&amp;" "&amp;w_a!K16)),"対応予定",IF(ISNUMBER(SEARCH("未対応",w_a!G16&amp;" "&amp;w_a!H16&amp;" "&amp;w_a!K16)),"未対応","要確認"))))))))</f>
        <v/>
      </c>
      <c r="F16" s="5" t="str">
        <f t="shared" si="0"/>
        <v/>
      </c>
      <c r="G16" s="5" t="str">
        <f t="shared" si="1"/>
        <v/>
      </c>
      <c r="H16" s="5" t="str">
        <f>IF(w_a!H16="","",w_a!H16)</f>
        <v/>
      </c>
      <c r="I16" s="5" t="str">
        <f>IF(w_a!I16="","",w_a!I16)</f>
        <v/>
      </c>
      <c r="J16" s="5" t="str">
        <f>IF(w_a!J16="","",w_a!J16)</f>
        <v/>
      </c>
      <c r="K16" s="5" t="str">
        <f>IF(w_a!K16="","",w_a!K16)</f>
        <v/>
      </c>
      <c r="L16" s="5" t="str">
        <f t="shared" si="2"/>
        <v/>
      </c>
      <c r="M16" s="2"/>
      <c r="N16" s="2"/>
    </row>
    <row r="17" spans="1:14" ht="18.75">
      <c r="A17" s="5" t="str">
        <f>IF(w_a!A17="","",w_a!A17)</f>
        <v/>
      </c>
      <c r="B17" s="5" t="str">
        <f>IF(w_a!B17="","",w_a!B17)</f>
        <v/>
      </c>
      <c r="C17" s="5" t="str">
        <f>IF(w_a!E17="","",w_a!E17)</f>
        <v/>
      </c>
      <c r="D17" s="5" t="str">
        <f>IF(w_a!G17="","",w_a!G17)</f>
        <v/>
      </c>
      <c r="E17" s="5" t="str">
        <f>IF(A17="","",IF(ISNUMBER(SEARCH("対応済",w_a!G17&amp;" "&amp;w_a!H17&amp;" "&amp;w_a!K17)),"対応済",IF(ISNUMBER(SEARCH("完了",w_a!G17&amp;" "&amp;w_a!H17&amp;" "&amp;w_a!K17)),"対応済",IF(ISNUMBER(SEARCH("該当なし",w_a!G17&amp;" "&amp;w_a!H17&amp;" "&amp;w_a!K17)),"該当なし",IF(ISNUMBER(SEARCH("対象外",w_a!G17&amp;" "&amp;w_a!H17&amp;" "&amp;w_a!K17)),"該当なし",IF(ISNUMBER(SEARCH("確認中",w_a!G17&amp;" "&amp;w_a!H17&amp;" "&amp;w_a!K17)),"確認中",IF(ISNUMBER(SEARCH("対応予定",w_a!G17&amp;" "&amp;w_a!H17&amp;" "&amp;w_a!K17)),"対応予定",IF(ISNUMBER(SEARCH("未対応",w_a!G17&amp;" "&amp;w_a!H17&amp;" "&amp;w_a!K17)),"未対応","要確認"))))))))</f>
        <v/>
      </c>
      <c r="F17" s="5" t="str">
        <f t="shared" si="0"/>
        <v/>
      </c>
      <c r="G17" s="5" t="str">
        <f t="shared" si="1"/>
        <v/>
      </c>
      <c r="H17" s="5" t="str">
        <f>IF(w_a!H17="","",w_a!H17)</f>
        <v/>
      </c>
      <c r="I17" s="5" t="str">
        <f>IF(w_a!I17="","",w_a!I17)</f>
        <v/>
      </c>
      <c r="J17" s="5" t="str">
        <f>IF(w_a!J17="","",w_a!J17)</f>
        <v/>
      </c>
      <c r="K17" s="5" t="str">
        <f>IF(w_a!K17="","",w_a!K17)</f>
        <v/>
      </c>
      <c r="L17" s="5" t="str">
        <f t="shared" si="2"/>
        <v/>
      </c>
      <c r="M17" s="2"/>
      <c r="N17" s="2"/>
    </row>
    <row r="18" spans="1:14" ht="18.75">
      <c r="A18" s="5" t="str">
        <f>IF(w_a!A18="","",w_a!A18)</f>
        <v/>
      </c>
      <c r="B18" s="5" t="str">
        <f>IF(w_a!B18="","",w_a!B18)</f>
        <v/>
      </c>
      <c r="C18" s="5" t="str">
        <f>IF(w_a!E18="","",w_a!E18)</f>
        <v/>
      </c>
      <c r="D18" s="5" t="str">
        <f>IF(w_a!G18="","",w_a!G18)</f>
        <v/>
      </c>
      <c r="E18" s="5" t="str">
        <f>IF(A18="","",IF(ISNUMBER(SEARCH("対応済",w_a!G18&amp;" "&amp;w_a!H18&amp;" "&amp;w_a!K18)),"対応済",IF(ISNUMBER(SEARCH("完了",w_a!G18&amp;" "&amp;w_a!H18&amp;" "&amp;w_a!K18)),"対応済",IF(ISNUMBER(SEARCH("該当なし",w_a!G18&amp;" "&amp;w_a!H18&amp;" "&amp;w_a!K18)),"該当なし",IF(ISNUMBER(SEARCH("対象外",w_a!G18&amp;" "&amp;w_a!H18&amp;" "&amp;w_a!K18)),"該当なし",IF(ISNUMBER(SEARCH("確認中",w_a!G18&amp;" "&amp;w_a!H18&amp;" "&amp;w_a!K18)),"確認中",IF(ISNUMBER(SEARCH("対応予定",w_a!G18&amp;" "&amp;w_a!H18&amp;" "&amp;w_a!K18)),"対応予定",IF(ISNUMBER(SEARCH("未対応",w_a!G18&amp;" "&amp;w_a!H18&amp;" "&amp;w_a!K18)),"未対応","要確認"))))))))</f>
        <v/>
      </c>
      <c r="F18" s="5" t="str">
        <f t="shared" si="0"/>
        <v/>
      </c>
      <c r="G18" s="5" t="str">
        <f t="shared" si="1"/>
        <v/>
      </c>
      <c r="H18" s="5" t="str">
        <f>IF(w_a!H18="","",w_a!H18)</f>
        <v/>
      </c>
      <c r="I18" s="5" t="str">
        <f>IF(w_a!I18="","",w_a!I18)</f>
        <v/>
      </c>
      <c r="J18" s="5" t="str">
        <f>IF(w_a!J18="","",w_a!J18)</f>
        <v/>
      </c>
      <c r="K18" s="5" t="str">
        <f>IF(w_a!K18="","",w_a!K18)</f>
        <v/>
      </c>
      <c r="L18" s="5" t="str">
        <f t="shared" si="2"/>
        <v/>
      </c>
      <c r="M18" s="2"/>
      <c r="N18" s="2"/>
    </row>
    <row r="19" spans="1:14" ht="18.75">
      <c r="A19" s="5" t="str">
        <f>IF(w_a!A19="","",w_a!A19)</f>
        <v/>
      </c>
      <c r="B19" s="5" t="str">
        <f>IF(w_a!B19="","",w_a!B19)</f>
        <v/>
      </c>
      <c r="C19" s="5" t="str">
        <f>IF(w_a!E19="","",w_a!E19)</f>
        <v/>
      </c>
      <c r="D19" s="5" t="str">
        <f>IF(w_a!G19="","",w_a!G19)</f>
        <v/>
      </c>
      <c r="E19" s="5" t="str">
        <f>IF(A19="","",IF(ISNUMBER(SEARCH("対応済",w_a!G19&amp;" "&amp;w_a!H19&amp;" "&amp;w_a!K19)),"対応済",IF(ISNUMBER(SEARCH("完了",w_a!G19&amp;" "&amp;w_a!H19&amp;" "&amp;w_a!K19)),"対応済",IF(ISNUMBER(SEARCH("該当なし",w_a!G19&amp;" "&amp;w_a!H19&amp;" "&amp;w_a!K19)),"該当なし",IF(ISNUMBER(SEARCH("対象外",w_a!G19&amp;" "&amp;w_a!H19&amp;" "&amp;w_a!K19)),"該当なし",IF(ISNUMBER(SEARCH("確認中",w_a!G19&amp;" "&amp;w_a!H19&amp;" "&amp;w_a!K19)),"確認中",IF(ISNUMBER(SEARCH("対応予定",w_a!G19&amp;" "&amp;w_a!H19&amp;" "&amp;w_a!K19)),"対応予定",IF(ISNUMBER(SEARCH("未対応",w_a!G19&amp;" "&amp;w_a!H19&amp;" "&amp;w_a!K19)),"未対応","要確認"))))))))</f>
        <v/>
      </c>
      <c r="F19" s="5" t="str">
        <f t="shared" si="0"/>
        <v/>
      </c>
      <c r="G19" s="5" t="str">
        <f t="shared" si="1"/>
        <v/>
      </c>
      <c r="H19" s="5" t="str">
        <f>IF(w_a!H19="","",w_a!H19)</f>
        <v/>
      </c>
      <c r="I19" s="5" t="str">
        <f>IF(w_a!I19="","",w_a!I19)</f>
        <v/>
      </c>
      <c r="J19" s="5" t="str">
        <f>IF(w_a!J19="","",w_a!J19)</f>
        <v/>
      </c>
      <c r="K19" s="5" t="str">
        <f>IF(w_a!K19="","",w_a!K19)</f>
        <v/>
      </c>
      <c r="L19" s="5" t="str">
        <f t="shared" si="2"/>
        <v/>
      </c>
      <c r="M19" s="2"/>
      <c r="N19" s="2"/>
    </row>
    <row r="20" spans="1:14" ht="18.75">
      <c r="A20" s="5" t="str">
        <f>IF(w_a!A20="","",w_a!A20)</f>
        <v/>
      </c>
      <c r="B20" s="5" t="str">
        <f>IF(w_a!B20="","",w_a!B20)</f>
        <v/>
      </c>
      <c r="C20" s="5" t="str">
        <f>IF(w_a!E20="","",w_a!E20)</f>
        <v/>
      </c>
      <c r="D20" s="5" t="str">
        <f>IF(w_a!G20="","",w_a!G20)</f>
        <v/>
      </c>
      <c r="E20" s="5" t="str">
        <f>IF(A20="","",IF(ISNUMBER(SEARCH("対応済",w_a!G20&amp;" "&amp;w_a!H20&amp;" "&amp;w_a!K20)),"対応済",IF(ISNUMBER(SEARCH("完了",w_a!G20&amp;" "&amp;w_a!H20&amp;" "&amp;w_a!K20)),"対応済",IF(ISNUMBER(SEARCH("該当なし",w_a!G20&amp;" "&amp;w_a!H20&amp;" "&amp;w_a!K20)),"該当なし",IF(ISNUMBER(SEARCH("対象外",w_a!G20&amp;" "&amp;w_a!H20&amp;" "&amp;w_a!K20)),"該当なし",IF(ISNUMBER(SEARCH("確認中",w_a!G20&amp;" "&amp;w_a!H20&amp;" "&amp;w_a!K20)),"確認中",IF(ISNUMBER(SEARCH("対応予定",w_a!G20&amp;" "&amp;w_a!H20&amp;" "&amp;w_a!K20)),"対応予定",IF(ISNUMBER(SEARCH("未対応",w_a!G20&amp;" "&amp;w_a!H20&amp;" "&amp;w_a!K20)),"未対応","要確認"))))))))</f>
        <v/>
      </c>
      <c r="F20" s="5" t="str">
        <f t="shared" si="0"/>
        <v/>
      </c>
      <c r="G20" s="5" t="str">
        <f t="shared" si="1"/>
        <v/>
      </c>
      <c r="H20" s="5" t="str">
        <f>IF(w_a!H20="","",w_a!H20)</f>
        <v/>
      </c>
      <c r="I20" s="5" t="str">
        <f>IF(w_a!I20="","",w_a!I20)</f>
        <v/>
      </c>
      <c r="J20" s="5" t="str">
        <f>IF(w_a!J20="","",w_a!J20)</f>
        <v/>
      </c>
      <c r="K20" s="5" t="str">
        <f>IF(w_a!K20="","",w_a!K20)</f>
        <v/>
      </c>
      <c r="L20" s="5" t="str">
        <f t="shared" si="2"/>
        <v/>
      </c>
      <c r="M20" s="2"/>
      <c r="N20" s="2"/>
    </row>
    <row r="21" spans="1:14" ht="18.75">
      <c r="A21" s="5" t="str">
        <f>IF(w_a!A21="","",w_a!A21)</f>
        <v/>
      </c>
      <c r="B21" s="5" t="str">
        <f>IF(w_a!B21="","",w_a!B21)</f>
        <v/>
      </c>
      <c r="C21" s="5" t="str">
        <f>IF(w_a!E21="","",w_a!E21)</f>
        <v/>
      </c>
      <c r="D21" s="5" t="str">
        <f>IF(w_a!G21="","",w_a!G21)</f>
        <v/>
      </c>
      <c r="E21" s="5" t="str">
        <f>IF(A21="","",IF(ISNUMBER(SEARCH("対応済",w_a!G21&amp;" "&amp;w_a!H21&amp;" "&amp;w_a!K21)),"対応済",IF(ISNUMBER(SEARCH("完了",w_a!G21&amp;" "&amp;w_a!H21&amp;" "&amp;w_a!K21)),"対応済",IF(ISNUMBER(SEARCH("該当なし",w_a!G21&amp;" "&amp;w_a!H21&amp;" "&amp;w_a!K21)),"該当なし",IF(ISNUMBER(SEARCH("対象外",w_a!G21&amp;" "&amp;w_a!H21&amp;" "&amp;w_a!K21)),"該当なし",IF(ISNUMBER(SEARCH("確認中",w_a!G21&amp;" "&amp;w_a!H21&amp;" "&amp;w_a!K21)),"確認中",IF(ISNUMBER(SEARCH("対応予定",w_a!G21&amp;" "&amp;w_a!H21&amp;" "&amp;w_a!K21)),"対応予定",IF(ISNUMBER(SEARCH("未対応",w_a!G21&amp;" "&amp;w_a!H21&amp;" "&amp;w_a!K21)),"未対応","要確認"))))))))</f>
        <v/>
      </c>
      <c r="F21" s="5" t="str">
        <f t="shared" si="0"/>
        <v/>
      </c>
      <c r="G21" s="5" t="str">
        <f t="shared" si="1"/>
        <v/>
      </c>
      <c r="H21" s="5" t="str">
        <f>IF(w_a!H21="","",w_a!H21)</f>
        <v/>
      </c>
      <c r="I21" s="5" t="str">
        <f>IF(w_a!I21="","",w_a!I21)</f>
        <v/>
      </c>
      <c r="J21" s="5" t="str">
        <f>IF(w_a!J21="","",w_a!J21)</f>
        <v/>
      </c>
      <c r="K21" s="5" t="str">
        <f>IF(w_a!K21="","",w_a!K21)</f>
        <v/>
      </c>
      <c r="L21" s="5" t="str">
        <f t="shared" si="2"/>
        <v/>
      </c>
      <c r="M21" s="2"/>
      <c r="N21" s="2"/>
    </row>
    <row r="22" spans="1:14" ht="18.75">
      <c r="A22" s="5" t="str">
        <f>IF(w_a!A22="","",w_a!A22)</f>
        <v/>
      </c>
      <c r="B22" s="5" t="str">
        <f>IF(w_a!B22="","",w_a!B22)</f>
        <v/>
      </c>
      <c r="C22" s="5" t="str">
        <f>IF(w_a!E22="","",w_a!E22)</f>
        <v/>
      </c>
      <c r="D22" s="5" t="str">
        <f>IF(w_a!G22="","",w_a!G22)</f>
        <v/>
      </c>
      <c r="E22" s="5" t="str">
        <f>IF(A22="","",IF(ISNUMBER(SEARCH("対応済",w_a!G22&amp;" "&amp;w_a!H22&amp;" "&amp;w_a!K22)),"対応済",IF(ISNUMBER(SEARCH("完了",w_a!G22&amp;" "&amp;w_a!H22&amp;" "&amp;w_a!K22)),"対応済",IF(ISNUMBER(SEARCH("該当なし",w_a!G22&amp;" "&amp;w_a!H22&amp;" "&amp;w_a!K22)),"該当なし",IF(ISNUMBER(SEARCH("対象外",w_a!G22&amp;" "&amp;w_a!H22&amp;" "&amp;w_a!K22)),"該当なし",IF(ISNUMBER(SEARCH("確認中",w_a!G22&amp;" "&amp;w_a!H22&amp;" "&amp;w_a!K22)),"確認中",IF(ISNUMBER(SEARCH("対応予定",w_a!G22&amp;" "&amp;w_a!H22&amp;" "&amp;w_a!K22)),"対応予定",IF(ISNUMBER(SEARCH("未対応",w_a!G22&amp;" "&amp;w_a!H22&amp;" "&amp;w_a!K22)),"未対応","要確認"))))))))</f>
        <v/>
      </c>
      <c r="F22" s="5" t="str">
        <f t="shared" si="0"/>
        <v/>
      </c>
      <c r="G22" s="5" t="str">
        <f t="shared" si="1"/>
        <v/>
      </c>
      <c r="H22" s="5" t="str">
        <f>IF(w_a!H22="","",w_a!H22)</f>
        <v/>
      </c>
      <c r="I22" s="5" t="str">
        <f>IF(w_a!I22="","",w_a!I22)</f>
        <v/>
      </c>
      <c r="J22" s="5" t="str">
        <f>IF(w_a!J22="","",w_a!J22)</f>
        <v/>
      </c>
      <c r="K22" s="5" t="str">
        <f>IF(w_a!K22="","",w_a!K22)</f>
        <v/>
      </c>
      <c r="L22" s="5" t="str">
        <f t="shared" si="2"/>
        <v/>
      </c>
      <c r="M22" s="2"/>
      <c r="N22" s="2"/>
    </row>
    <row r="23" spans="1:14" ht="18.75">
      <c r="A23" s="5" t="str">
        <f>IF(w_a!A23="","",w_a!A23)</f>
        <v/>
      </c>
      <c r="B23" s="5" t="str">
        <f>IF(w_a!B23="","",w_a!B23)</f>
        <v/>
      </c>
      <c r="C23" s="5" t="str">
        <f>IF(w_a!E23="","",w_a!E23)</f>
        <v/>
      </c>
      <c r="D23" s="5" t="str">
        <f>IF(w_a!G23="","",w_a!G23)</f>
        <v/>
      </c>
      <c r="E23" s="5" t="str">
        <f>IF(A23="","",IF(ISNUMBER(SEARCH("対応済",w_a!G23&amp;" "&amp;w_a!H23&amp;" "&amp;w_a!K23)),"対応済",IF(ISNUMBER(SEARCH("完了",w_a!G23&amp;" "&amp;w_a!H23&amp;" "&amp;w_a!K23)),"対応済",IF(ISNUMBER(SEARCH("該当なし",w_a!G23&amp;" "&amp;w_a!H23&amp;" "&amp;w_a!K23)),"該当なし",IF(ISNUMBER(SEARCH("対象外",w_a!G23&amp;" "&amp;w_a!H23&amp;" "&amp;w_a!K23)),"該当なし",IF(ISNUMBER(SEARCH("確認中",w_a!G23&amp;" "&amp;w_a!H23&amp;" "&amp;w_a!K23)),"確認中",IF(ISNUMBER(SEARCH("対応予定",w_a!G23&amp;" "&amp;w_a!H23&amp;" "&amp;w_a!K23)),"対応予定",IF(ISNUMBER(SEARCH("未対応",w_a!G23&amp;" "&amp;w_a!H23&amp;" "&amp;w_a!K23)),"未対応","要確認"))))))))</f>
        <v/>
      </c>
      <c r="F23" s="5" t="str">
        <f t="shared" si="0"/>
        <v/>
      </c>
      <c r="G23" s="5" t="str">
        <f t="shared" si="1"/>
        <v/>
      </c>
      <c r="H23" s="5" t="str">
        <f>IF(w_a!H23="","",w_a!H23)</f>
        <v/>
      </c>
      <c r="I23" s="5" t="str">
        <f>IF(w_a!I23="","",w_a!I23)</f>
        <v/>
      </c>
      <c r="J23" s="5" t="str">
        <f>IF(w_a!J23="","",w_a!J23)</f>
        <v/>
      </c>
      <c r="K23" s="5" t="str">
        <f>IF(w_a!K23="","",w_a!K23)</f>
        <v/>
      </c>
      <c r="L23" s="5" t="str">
        <f t="shared" si="2"/>
        <v/>
      </c>
      <c r="M23" s="2"/>
      <c r="N23" s="2"/>
    </row>
    <row r="24" spans="1:14" ht="18.75">
      <c r="A24" s="5" t="str">
        <f>IF(w_a!A24="","",w_a!A24)</f>
        <v/>
      </c>
      <c r="B24" s="5" t="str">
        <f>IF(w_a!B24="","",w_a!B24)</f>
        <v/>
      </c>
      <c r="C24" s="5" t="str">
        <f>IF(w_a!E24="","",w_a!E24)</f>
        <v/>
      </c>
      <c r="D24" s="5" t="str">
        <f>IF(w_a!G24="","",w_a!G24)</f>
        <v/>
      </c>
      <c r="E24" s="5" t="str">
        <f>IF(A24="","",IF(ISNUMBER(SEARCH("対応済",w_a!G24&amp;" "&amp;w_a!H24&amp;" "&amp;w_a!K24)),"対応済",IF(ISNUMBER(SEARCH("完了",w_a!G24&amp;" "&amp;w_a!H24&amp;" "&amp;w_a!K24)),"対応済",IF(ISNUMBER(SEARCH("該当なし",w_a!G24&amp;" "&amp;w_a!H24&amp;" "&amp;w_a!K24)),"該当なし",IF(ISNUMBER(SEARCH("対象外",w_a!G24&amp;" "&amp;w_a!H24&amp;" "&amp;w_a!K24)),"該当なし",IF(ISNUMBER(SEARCH("確認中",w_a!G24&amp;" "&amp;w_a!H24&amp;" "&amp;w_a!K24)),"確認中",IF(ISNUMBER(SEARCH("対応予定",w_a!G24&amp;" "&amp;w_a!H24&amp;" "&amp;w_a!K24)),"対応予定",IF(ISNUMBER(SEARCH("未対応",w_a!G24&amp;" "&amp;w_a!H24&amp;" "&amp;w_a!K24)),"未対応","要確認"))))))))</f>
        <v/>
      </c>
      <c r="F24" s="5" t="str">
        <f t="shared" si="0"/>
        <v/>
      </c>
      <c r="G24" s="5" t="str">
        <f t="shared" si="1"/>
        <v/>
      </c>
      <c r="H24" s="5" t="str">
        <f>IF(w_a!H24="","",w_a!H24)</f>
        <v/>
      </c>
      <c r="I24" s="5" t="str">
        <f>IF(w_a!I24="","",w_a!I24)</f>
        <v/>
      </c>
      <c r="J24" s="5" t="str">
        <f>IF(w_a!J24="","",w_a!J24)</f>
        <v/>
      </c>
      <c r="K24" s="5" t="str">
        <f>IF(w_a!K24="","",w_a!K24)</f>
        <v/>
      </c>
      <c r="L24" s="5" t="str">
        <f t="shared" si="2"/>
        <v/>
      </c>
      <c r="M24" s="2"/>
      <c r="N24" s="2"/>
    </row>
    <row r="25" spans="1:14" ht="18.75">
      <c r="A25" s="5" t="str">
        <f>IF(w_a!A25="","",w_a!A25)</f>
        <v/>
      </c>
      <c r="B25" s="5" t="str">
        <f>IF(w_a!B25="","",w_a!B25)</f>
        <v/>
      </c>
      <c r="C25" s="5" t="str">
        <f>IF(w_a!E25="","",w_a!E25)</f>
        <v/>
      </c>
      <c r="D25" s="5" t="str">
        <f>IF(w_a!G25="","",w_a!G25)</f>
        <v/>
      </c>
      <c r="E25" s="5" t="str">
        <f>IF(A25="","",IF(ISNUMBER(SEARCH("対応済",w_a!G25&amp;" "&amp;w_a!H25&amp;" "&amp;w_a!K25)),"対応済",IF(ISNUMBER(SEARCH("完了",w_a!G25&amp;" "&amp;w_a!H25&amp;" "&amp;w_a!K25)),"対応済",IF(ISNUMBER(SEARCH("該当なし",w_a!G25&amp;" "&amp;w_a!H25&amp;" "&amp;w_a!K25)),"該当なし",IF(ISNUMBER(SEARCH("対象外",w_a!G25&amp;" "&amp;w_a!H25&amp;" "&amp;w_a!K25)),"該当なし",IF(ISNUMBER(SEARCH("確認中",w_a!G25&amp;" "&amp;w_a!H25&amp;" "&amp;w_a!K25)),"確認中",IF(ISNUMBER(SEARCH("対応予定",w_a!G25&amp;" "&amp;w_a!H25&amp;" "&amp;w_a!K25)),"対応予定",IF(ISNUMBER(SEARCH("未対応",w_a!G25&amp;" "&amp;w_a!H25&amp;" "&amp;w_a!K25)),"未対応","要確認"))))))))</f>
        <v/>
      </c>
      <c r="F25" s="5" t="str">
        <f t="shared" si="0"/>
        <v/>
      </c>
      <c r="G25" s="5" t="str">
        <f t="shared" si="1"/>
        <v/>
      </c>
      <c r="H25" s="5" t="str">
        <f>IF(w_a!H25="","",w_a!H25)</f>
        <v/>
      </c>
      <c r="I25" s="5" t="str">
        <f>IF(w_a!I25="","",w_a!I25)</f>
        <v/>
      </c>
      <c r="J25" s="5" t="str">
        <f>IF(w_a!J25="","",w_a!J25)</f>
        <v/>
      </c>
      <c r="K25" s="5" t="str">
        <f>IF(w_a!K25="","",w_a!K25)</f>
        <v/>
      </c>
      <c r="L25" s="5" t="str">
        <f t="shared" si="2"/>
        <v/>
      </c>
      <c r="M25" s="2"/>
      <c r="N25" s="2"/>
    </row>
    <row r="26" spans="1:14" ht="18.75">
      <c r="A26" s="5" t="str">
        <f>IF(w_a!A26="","",w_a!A26)</f>
        <v/>
      </c>
      <c r="B26" s="5" t="str">
        <f>IF(w_a!B26="","",w_a!B26)</f>
        <v/>
      </c>
      <c r="C26" s="5" t="str">
        <f>IF(w_a!E26="","",w_a!E26)</f>
        <v/>
      </c>
      <c r="D26" s="5" t="str">
        <f>IF(w_a!G26="","",w_a!G26)</f>
        <v/>
      </c>
      <c r="E26" s="5" t="str">
        <f>IF(A26="","",IF(ISNUMBER(SEARCH("対応済",w_a!G26&amp;" "&amp;w_a!H26&amp;" "&amp;w_a!K26)),"対応済",IF(ISNUMBER(SEARCH("完了",w_a!G26&amp;" "&amp;w_a!H26&amp;" "&amp;w_a!K26)),"対応済",IF(ISNUMBER(SEARCH("該当なし",w_a!G26&amp;" "&amp;w_a!H26&amp;" "&amp;w_a!K26)),"該当なし",IF(ISNUMBER(SEARCH("対象外",w_a!G26&amp;" "&amp;w_a!H26&amp;" "&amp;w_a!K26)),"該当なし",IF(ISNUMBER(SEARCH("確認中",w_a!G26&amp;" "&amp;w_a!H26&amp;" "&amp;w_a!K26)),"確認中",IF(ISNUMBER(SEARCH("対応予定",w_a!G26&amp;" "&amp;w_a!H26&amp;" "&amp;w_a!K26)),"対応予定",IF(ISNUMBER(SEARCH("未対応",w_a!G26&amp;" "&amp;w_a!H26&amp;" "&amp;w_a!K26)),"未対応","要確認"))))))))</f>
        <v/>
      </c>
      <c r="F26" s="5" t="str">
        <f t="shared" si="0"/>
        <v/>
      </c>
      <c r="G26" s="5" t="str">
        <f t="shared" si="1"/>
        <v/>
      </c>
      <c r="H26" s="5" t="str">
        <f>IF(w_a!H26="","",w_a!H26)</f>
        <v/>
      </c>
      <c r="I26" s="5" t="str">
        <f>IF(w_a!I26="","",w_a!I26)</f>
        <v/>
      </c>
      <c r="J26" s="5" t="str">
        <f>IF(w_a!J26="","",w_a!J26)</f>
        <v/>
      </c>
      <c r="K26" s="5" t="str">
        <f>IF(w_a!K26="","",w_a!K26)</f>
        <v/>
      </c>
      <c r="L26" s="5" t="str">
        <f t="shared" si="2"/>
        <v/>
      </c>
      <c r="M26" s="2"/>
      <c r="N26" s="2"/>
    </row>
    <row r="27" spans="1:14" ht="18.75">
      <c r="A27" s="5" t="str">
        <f>IF(w_a!A27="","",w_a!A27)</f>
        <v/>
      </c>
      <c r="B27" s="5" t="str">
        <f>IF(w_a!B27="","",w_a!B27)</f>
        <v/>
      </c>
      <c r="C27" s="5" t="str">
        <f>IF(w_a!E27="","",w_a!E27)</f>
        <v/>
      </c>
      <c r="D27" s="5" t="str">
        <f>IF(w_a!G27="","",w_a!G27)</f>
        <v/>
      </c>
      <c r="E27" s="5" t="str">
        <f>IF(A27="","",IF(ISNUMBER(SEARCH("対応済",w_a!G27&amp;" "&amp;w_a!H27&amp;" "&amp;w_a!K27)),"対応済",IF(ISNUMBER(SEARCH("完了",w_a!G27&amp;" "&amp;w_a!H27&amp;" "&amp;w_a!K27)),"対応済",IF(ISNUMBER(SEARCH("該当なし",w_a!G27&amp;" "&amp;w_a!H27&amp;" "&amp;w_a!K27)),"該当なし",IF(ISNUMBER(SEARCH("対象外",w_a!G27&amp;" "&amp;w_a!H27&amp;" "&amp;w_a!K27)),"該当なし",IF(ISNUMBER(SEARCH("確認中",w_a!G27&amp;" "&amp;w_a!H27&amp;" "&amp;w_a!K27)),"確認中",IF(ISNUMBER(SEARCH("対応予定",w_a!G27&amp;" "&amp;w_a!H27&amp;" "&amp;w_a!K27)),"対応予定",IF(ISNUMBER(SEARCH("未対応",w_a!G27&amp;" "&amp;w_a!H27&amp;" "&amp;w_a!K27)),"未対応","要確認"))))))))</f>
        <v/>
      </c>
      <c r="F27" s="5" t="str">
        <f t="shared" si="0"/>
        <v/>
      </c>
      <c r="G27" s="5" t="str">
        <f t="shared" si="1"/>
        <v/>
      </c>
      <c r="H27" s="5" t="str">
        <f>IF(w_a!H27="","",w_a!H27)</f>
        <v/>
      </c>
      <c r="I27" s="5" t="str">
        <f>IF(w_a!I27="","",w_a!I27)</f>
        <v/>
      </c>
      <c r="J27" s="5" t="str">
        <f>IF(w_a!J27="","",w_a!J27)</f>
        <v/>
      </c>
      <c r="K27" s="5" t="str">
        <f>IF(w_a!K27="","",w_a!K27)</f>
        <v/>
      </c>
      <c r="L27" s="5" t="str">
        <f t="shared" si="2"/>
        <v/>
      </c>
      <c r="M27" s="2"/>
      <c r="N27" s="2"/>
    </row>
    <row r="28" spans="1:14" ht="18.75">
      <c r="A28" s="5" t="str">
        <f>IF(w_a!A28="","",w_a!A28)</f>
        <v/>
      </c>
      <c r="B28" s="5" t="str">
        <f>IF(w_a!B28="","",w_a!B28)</f>
        <v/>
      </c>
      <c r="C28" s="5" t="str">
        <f>IF(w_a!E28="","",w_a!E28)</f>
        <v/>
      </c>
      <c r="D28" s="5" t="str">
        <f>IF(w_a!G28="","",w_a!G28)</f>
        <v/>
      </c>
      <c r="E28" s="5" t="str">
        <f>IF(A28="","",IF(ISNUMBER(SEARCH("対応済",w_a!G28&amp;" "&amp;w_a!H28&amp;" "&amp;w_a!K28)),"対応済",IF(ISNUMBER(SEARCH("完了",w_a!G28&amp;" "&amp;w_a!H28&amp;" "&amp;w_a!K28)),"対応済",IF(ISNUMBER(SEARCH("該当なし",w_a!G28&amp;" "&amp;w_a!H28&amp;" "&amp;w_a!K28)),"該当なし",IF(ISNUMBER(SEARCH("対象外",w_a!G28&amp;" "&amp;w_a!H28&amp;" "&amp;w_a!K28)),"該当なし",IF(ISNUMBER(SEARCH("確認中",w_a!G28&amp;" "&amp;w_a!H28&amp;" "&amp;w_a!K28)),"確認中",IF(ISNUMBER(SEARCH("対応予定",w_a!G28&amp;" "&amp;w_a!H28&amp;" "&amp;w_a!K28)),"対応予定",IF(ISNUMBER(SEARCH("未対応",w_a!G28&amp;" "&amp;w_a!H28&amp;" "&amp;w_a!K28)),"未対応","要確認"))))))))</f>
        <v/>
      </c>
      <c r="F28" s="5" t="str">
        <f t="shared" si="0"/>
        <v/>
      </c>
      <c r="G28" s="5" t="str">
        <f t="shared" si="1"/>
        <v/>
      </c>
      <c r="H28" s="5" t="str">
        <f>IF(w_a!H28="","",w_a!H28)</f>
        <v/>
      </c>
      <c r="I28" s="5" t="str">
        <f>IF(w_a!I28="","",w_a!I28)</f>
        <v/>
      </c>
      <c r="J28" s="5" t="str">
        <f>IF(w_a!J28="","",w_a!J28)</f>
        <v/>
      </c>
      <c r="K28" s="5" t="str">
        <f>IF(w_a!K28="","",w_a!K28)</f>
        <v/>
      </c>
      <c r="L28" s="5" t="str">
        <f t="shared" si="2"/>
        <v/>
      </c>
      <c r="M28" s="2"/>
      <c r="N28" s="2"/>
    </row>
    <row r="29" spans="1:14" ht="18.75">
      <c r="A29" s="5" t="str">
        <f>IF(w_a!A29="","",w_a!A29)</f>
        <v/>
      </c>
      <c r="B29" s="5" t="str">
        <f>IF(w_a!B29="","",w_a!B29)</f>
        <v/>
      </c>
      <c r="C29" s="5" t="str">
        <f>IF(w_a!E29="","",w_a!E29)</f>
        <v/>
      </c>
      <c r="D29" s="5" t="str">
        <f>IF(w_a!G29="","",w_a!G29)</f>
        <v/>
      </c>
      <c r="E29" s="5" t="str">
        <f>IF(A29="","",IF(ISNUMBER(SEARCH("対応済",w_a!G29&amp;" "&amp;w_a!H29&amp;" "&amp;w_a!K29)),"対応済",IF(ISNUMBER(SEARCH("完了",w_a!G29&amp;" "&amp;w_a!H29&amp;" "&amp;w_a!K29)),"対応済",IF(ISNUMBER(SEARCH("該当なし",w_a!G29&amp;" "&amp;w_a!H29&amp;" "&amp;w_a!K29)),"該当なし",IF(ISNUMBER(SEARCH("対象外",w_a!G29&amp;" "&amp;w_a!H29&amp;" "&amp;w_a!K29)),"該当なし",IF(ISNUMBER(SEARCH("確認中",w_a!G29&amp;" "&amp;w_a!H29&amp;" "&amp;w_a!K29)),"確認中",IF(ISNUMBER(SEARCH("対応予定",w_a!G29&amp;" "&amp;w_a!H29&amp;" "&amp;w_a!K29)),"対応予定",IF(ISNUMBER(SEARCH("未対応",w_a!G29&amp;" "&amp;w_a!H29&amp;" "&amp;w_a!K29)),"未対応","要確認"))))))))</f>
        <v/>
      </c>
      <c r="F29" s="5" t="str">
        <f t="shared" si="0"/>
        <v/>
      </c>
      <c r="G29" s="5" t="str">
        <f t="shared" si="1"/>
        <v/>
      </c>
      <c r="H29" s="5" t="str">
        <f>IF(w_a!H29="","",w_a!H29)</f>
        <v/>
      </c>
      <c r="I29" s="5" t="str">
        <f>IF(w_a!I29="","",w_a!I29)</f>
        <v/>
      </c>
      <c r="J29" s="5" t="str">
        <f>IF(w_a!J29="","",w_a!J29)</f>
        <v/>
      </c>
      <c r="K29" s="5" t="str">
        <f>IF(w_a!K29="","",w_a!K29)</f>
        <v/>
      </c>
      <c r="L29" s="5" t="str">
        <f t="shared" si="2"/>
        <v/>
      </c>
      <c r="M29" s="2"/>
      <c r="N29" s="2"/>
    </row>
    <row r="30" spans="1:14" ht="18.75">
      <c r="A30" s="5" t="str">
        <f>IF(w_a!A30="","",w_a!A30)</f>
        <v/>
      </c>
      <c r="B30" s="5" t="str">
        <f>IF(w_a!B30="","",w_a!B30)</f>
        <v/>
      </c>
      <c r="C30" s="5" t="str">
        <f>IF(w_a!E30="","",w_a!E30)</f>
        <v/>
      </c>
      <c r="D30" s="5" t="str">
        <f>IF(w_a!G30="","",w_a!G30)</f>
        <v/>
      </c>
      <c r="E30" s="5" t="str">
        <f>IF(A30="","",IF(ISNUMBER(SEARCH("対応済",w_a!G30&amp;" "&amp;w_a!H30&amp;" "&amp;w_a!K30)),"対応済",IF(ISNUMBER(SEARCH("完了",w_a!G30&amp;" "&amp;w_a!H30&amp;" "&amp;w_a!K30)),"対応済",IF(ISNUMBER(SEARCH("該当なし",w_a!G30&amp;" "&amp;w_a!H30&amp;" "&amp;w_a!K30)),"該当なし",IF(ISNUMBER(SEARCH("対象外",w_a!G30&amp;" "&amp;w_a!H30&amp;" "&amp;w_a!K30)),"該当なし",IF(ISNUMBER(SEARCH("確認中",w_a!G30&amp;" "&amp;w_a!H30&amp;" "&amp;w_a!K30)),"確認中",IF(ISNUMBER(SEARCH("対応予定",w_a!G30&amp;" "&amp;w_a!H30&amp;" "&amp;w_a!K30)),"対応予定",IF(ISNUMBER(SEARCH("未対応",w_a!G30&amp;" "&amp;w_a!H30&amp;" "&amp;w_a!K30)),"未対応","要確認"))))))))</f>
        <v/>
      </c>
      <c r="F30" s="5" t="str">
        <f t="shared" si="0"/>
        <v/>
      </c>
      <c r="G30" s="5" t="str">
        <f t="shared" si="1"/>
        <v/>
      </c>
      <c r="H30" s="5" t="str">
        <f>IF(w_a!H30="","",w_a!H30)</f>
        <v/>
      </c>
      <c r="I30" s="5" t="str">
        <f>IF(w_a!I30="","",w_a!I30)</f>
        <v/>
      </c>
      <c r="J30" s="5" t="str">
        <f>IF(w_a!J30="","",w_a!J30)</f>
        <v/>
      </c>
      <c r="K30" s="5" t="str">
        <f>IF(w_a!K30="","",w_a!K30)</f>
        <v/>
      </c>
      <c r="L30" s="5" t="str">
        <f t="shared" si="2"/>
        <v/>
      </c>
      <c r="M30" s="2"/>
      <c r="N30" s="2"/>
    </row>
    <row r="31" spans="1:14" ht="18.75">
      <c r="A31" s="5" t="str">
        <f>IF(w_a!A31="","",w_a!A31)</f>
        <v/>
      </c>
      <c r="B31" s="5" t="str">
        <f>IF(w_a!B31="","",w_a!B31)</f>
        <v/>
      </c>
      <c r="C31" s="5" t="str">
        <f>IF(w_a!E31="","",w_a!E31)</f>
        <v/>
      </c>
      <c r="D31" s="5" t="str">
        <f>IF(w_a!G31="","",w_a!G31)</f>
        <v/>
      </c>
      <c r="E31" s="5" t="str">
        <f>IF(A31="","",IF(ISNUMBER(SEARCH("対応済",w_a!G31&amp;" "&amp;w_a!H31&amp;" "&amp;w_a!K31)),"対応済",IF(ISNUMBER(SEARCH("完了",w_a!G31&amp;" "&amp;w_a!H31&amp;" "&amp;w_a!K31)),"対応済",IF(ISNUMBER(SEARCH("該当なし",w_a!G31&amp;" "&amp;w_a!H31&amp;" "&amp;w_a!K31)),"該当なし",IF(ISNUMBER(SEARCH("対象外",w_a!G31&amp;" "&amp;w_a!H31&amp;" "&amp;w_a!K31)),"該当なし",IF(ISNUMBER(SEARCH("確認中",w_a!G31&amp;" "&amp;w_a!H31&amp;" "&amp;w_a!K31)),"確認中",IF(ISNUMBER(SEARCH("対応予定",w_a!G31&amp;" "&amp;w_a!H31&amp;" "&amp;w_a!K31)),"対応予定",IF(ISNUMBER(SEARCH("未対応",w_a!G31&amp;" "&amp;w_a!H31&amp;" "&amp;w_a!K31)),"未対応","要確認"))))))))</f>
        <v/>
      </c>
      <c r="F31" s="5" t="str">
        <f t="shared" si="0"/>
        <v/>
      </c>
      <c r="G31" s="5" t="str">
        <f t="shared" si="1"/>
        <v/>
      </c>
      <c r="H31" s="5" t="str">
        <f>IF(w_a!H31="","",w_a!H31)</f>
        <v/>
      </c>
      <c r="I31" s="5" t="str">
        <f>IF(w_a!I31="","",w_a!I31)</f>
        <v/>
      </c>
      <c r="J31" s="5" t="str">
        <f>IF(w_a!J31="","",w_a!J31)</f>
        <v/>
      </c>
      <c r="K31" s="5" t="str">
        <f>IF(w_a!K31="","",w_a!K31)</f>
        <v/>
      </c>
      <c r="L31" s="5" t="str">
        <f t="shared" si="2"/>
        <v/>
      </c>
      <c r="M31" s="2"/>
      <c r="N31" s="2"/>
    </row>
    <row r="32" spans="1:14" ht="18.7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2"/>
      <c r="N32" s="2"/>
    </row>
    <row r="33" spans="1:14" ht="18.7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2"/>
      <c r="N33" s="2"/>
    </row>
    <row r="34" spans="1:14" ht="18.7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2"/>
      <c r="N34" s="2"/>
    </row>
    <row r="35" spans="1:14" ht="18.7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2"/>
      <c r="N35" s="2"/>
    </row>
    <row r="36" spans="1:14" ht="18.7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2"/>
      <c r="N36" s="2"/>
    </row>
    <row r="37" spans="1:14" ht="18.7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2"/>
      <c r="N37" s="2"/>
    </row>
    <row r="38" spans="1:14" ht="18.7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2"/>
      <c r="N38" s="2"/>
    </row>
    <row r="39" spans="1:14" ht="18.7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2"/>
      <c r="N39" s="2"/>
    </row>
    <row r="40" spans="1:14" ht="18.7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2"/>
      <c r="N40" s="2"/>
    </row>
    <row r="41" spans="1:14" ht="18.7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2"/>
      <c r="N41" s="2"/>
    </row>
    <row r="42" spans="1:14" ht="18.7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2"/>
      <c r="N42" s="2"/>
    </row>
    <row r="43" spans="1:14" ht="18.7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2"/>
      <c r="N43" s="2"/>
    </row>
    <row r="44" spans="1:14" ht="18.7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2"/>
      <c r="N44" s="2"/>
    </row>
    <row r="45" spans="1:14" ht="18.7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2"/>
      <c r="N45" s="2"/>
    </row>
    <row r="46" spans="1:14" ht="18.7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2"/>
      <c r="N46" s="2"/>
    </row>
    <row r="47" spans="1:14" ht="18.7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2"/>
      <c r="N47" s="2"/>
    </row>
    <row r="48" spans="1:14" ht="18.7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2"/>
      <c r="N48" s="2"/>
    </row>
    <row r="49" spans="1:14" ht="18.7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2"/>
      <c r="N49" s="2"/>
    </row>
    <row r="50" spans="1:14" ht="18.7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2"/>
      <c r="N50" s="2"/>
    </row>
    <row r="51" spans="1:14" ht="18.7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</row>
    <row r="52" spans="1:14" ht="18.7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</row>
    <row r="53" spans="1:14" ht="18.7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1:14" ht="18.7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1:14" ht="18.7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</row>
    <row r="56" spans="1:14" ht="18.7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</row>
    <row r="57" spans="1:14" ht="18.7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1:14" ht="18.7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1:14" ht="18.7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1:14" ht="18.7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1" spans="1:14" ht="18.7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</row>
    <row r="62" spans="1:14" ht="18.7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</row>
    <row r="63" spans="1:14" ht="18.7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</row>
    <row r="64" spans="1:14" ht="18.7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1:14" ht="18.7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1:14" ht="18.7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</row>
    <row r="67" spans="1:14" ht="18.7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</row>
    <row r="68" spans="1:14" ht="18.7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</row>
    <row r="69" spans="1:14" ht="18.7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</row>
    <row r="70" spans="1:14" ht="18.7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</row>
    <row r="71" spans="1:14" ht="18.7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</row>
    <row r="72" spans="1:14" ht="18.7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</row>
    <row r="73" spans="1:14" ht="18.7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1:14" ht="18.7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1:14" ht="18.7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</row>
    <row r="76" spans="1:14" ht="18.7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</row>
    <row r="77" spans="1:14" ht="18.7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</row>
    <row r="78" spans="1:14" ht="18.7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</row>
    <row r="79" spans="1:14" ht="18.7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</row>
    <row r="80" spans="1:14" ht="18.7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</row>
    <row r="81" spans="1:14" ht="18.7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</row>
    <row r="82" spans="1:14" ht="18.7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</row>
    <row r="83" spans="1:14" ht="18.7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</row>
    <row r="84" spans="1:14" ht="18.7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</row>
    <row r="85" spans="1:14" ht="18.7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</row>
    <row r="86" spans="1:14" ht="18.7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</row>
    <row r="87" spans="1:14" ht="18.7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</row>
    <row r="88" spans="1:14" ht="18.7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</row>
    <row r="89" spans="1:14" ht="18.7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</row>
    <row r="90" spans="1:14" ht="18.7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</row>
    <row r="91" spans="1:14" ht="18.7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</row>
    <row r="92" spans="1:14" ht="18.7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</row>
    <row r="93" spans="1:14" ht="18.7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</row>
    <row r="94" spans="1:14" ht="18.7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</row>
    <row r="95" spans="1:14" ht="18.7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</row>
    <row r="96" spans="1:14" ht="18.7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</row>
    <row r="97" spans="1:14" ht="18.7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</row>
    <row r="98" spans="1:14" ht="18.7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</row>
    <row r="99" spans="1:14" ht="18.7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</row>
    <row r="100" spans="1:14" ht="18.7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</row>
    <row r="101" spans="1:14" ht="18.7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</row>
    <row r="102" spans="1:14" ht="18.7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</row>
    <row r="103" spans="1:14" ht="18.7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</row>
    <row r="104" spans="1:14" ht="18.7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</row>
    <row r="105" spans="1:14" ht="18.7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</row>
    <row r="106" spans="1:14" ht="18.7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</row>
    <row r="107" spans="1:14" ht="18.7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</row>
    <row r="108" spans="1:14" ht="18.7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</row>
    <row r="109" spans="1:14" ht="18.7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</row>
    <row r="110" spans="1:14" ht="18.7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</row>
    <row r="111" spans="1:14" ht="18.7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</row>
    <row r="112" spans="1:14" ht="18.7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</row>
    <row r="113" spans="1:14" ht="18.7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</row>
    <row r="114" spans="1:14" ht="18.7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</row>
    <row r="115" spans="1:14" ht="18.7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</row>
    <row r="116" spans="1:14" ht="18.7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</row>
    <row r="117" spans="1:14" ht="18.7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</row>
    <row r="118" spans="1:14" ht="18.7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</row>
    <row r="119" spans="1:14" ht="18.7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</row>
    <row r="120" spans="1:14" ht="18.7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</row>
    <row r="121" spans="1:14">
      <c r="A121" t="s">
        <v>6</v>
      </c>
      <c r="B121" t="s">
        <v>7</v>
      </c>
      <c r="C121" t="s">
        <v>51</v>
      </c>
      <c r="D121" t="s">
        <v>10</v>
      </c>
      <c r="E121" t="s">
        <v>37</v>
      </c>
      <c r="F121" t="s">
        <v>38</v>
      </c>
      <c r="G121" t="s">
        <v>52</v>
      </c>
      <c r="H121" t="s">
        <v>11</v>
      </c>
      <c r="I121" t="s">
        <v>12</v>
      </c>
      <c r="J121" t="s">
        <v>13</v>
      </c>
      <c r="K121" t="s">
        <v>14</v>
      </c>
      <c r="L121" t="s">
        <v>53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"/>
  <sheetViews>
    <sheetView workbookViewId="0">
      <pane ySplit="1" topLeftCell="A2" activePane="bottomLeft" state="frozen"/>
      <selection pane="bottomLeft" activeCell="B116" sqref="B116"/>
    </sheetView>
  </sheetViews>
  <sheetFormatPr defaultRowHeight="14.25"/>
  <cols>
    <col min="1" max="1" width="8" style="1" customWidth="1"/>
    <col min="2" max="2" width="24" style="1" customWidth="1"/>
    <col min="3" max="3" width="16" style="1" customWidth="1"/>
    <col min="4" max="5" width="14" style="1" customWidth="1"/>
    <col min="6" max="7" width="10" style="1" customWidth="1"/>
    <col min="8" max="8" width="36" style="1" customWidth="1"/>
    <col min="9" max="9" width="14" style="1" customWidth="1"/>
  </cols>
  <sheetData>
    <row r="1" spans="1:12" ht="24" customHeight="1">
      <c r="A1" s="4" t="s">
        <v>54</v>
      </c>
      <c r="B1" s="4" t="s">
        <v>51</v>
      </c>
      <c r="C1" s="4" t="s">
        <v>55</v>
      </c>
      <c r="D1" s="4" t="s">
        <v>56</v>
      </c>
      <c r="E1" s="4" t="s">
        <v>11</v>
      </c>
      <c r="F1" s="4" t="s">
        <v>12</v>
      </c>
      <c r="G1" s="4" t="s">
        <v>13</v>
      </c>
      <c r="H1" s="4" t="s">
        <v>14</v>
      </c>
      <c r="I1" s="4" t="s">
        <v>52</v>
      </c>
      <c r="J1" s="2"/>
      <c r="K1" s="2"/>
      <c r="L1" s="2"/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1"/>
  <sheetViews>
    <sheetView tabSelected="1" workbookViewId="0">
      <pane ySplit="1" topLeftCell="A2" activePane="bottomLeft" state="frozen"/>
      <selection pane="bottomLeft" activeCell="B121" sqref="B121"/>
    </sheetView>
  </sheetViews>
  <sheetFormatPr defaultRowHeight="14.25"/>
  <cols>
    <col min="1" max="1" width="20" style="1" customWidth="1"/>
    <col min="2" max="2" width="24" style="1" customWidth="1"/>
    <col min="3" max="3" width="12" style="1" customWidth="1"/>
    <col min="4" max="4" width="40" style="1" customWidth="1"/>
  </cols>
  <sheetData>
    <row r="1" spans="1:6" ht="24" customHeight="1">
      <c r="A1" s="9" t="s">
        <v>57</v>
      </c>
      <c r="B1" s="9" t="s">
        <v>58</v>
      </c>
      <c r="C1" s="9" t="s">
        <v>59</v>
      </c>
      <c r="D1" s="9" t="s">
        <v>60</v>
      </c>
      <c r="E1" s="2"/>
      <c r="F1" s="2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20"/>
  <sheetViews>
    <sheetView workbookViewId="0"/>
  </sheetViews>
  <sheetFormatPr defaultRowHeight="14.25"/>
  <cols>
    <col min="1" max="1" width="50" style="1" customWidth="1"/>
  </cols>
  <sheetData>
    <row r="1" spans="1:3" ht="15" customHeight="1">
      <c r="A1" s="3" t="s">
        <v>61</v>
      </c>
      <c r="B1" s="2"/>
      <c r="C1" s="2"/>
    </row>
    <row r="2" spans="1:3" ht="18.75">
      <c r="A2" s="2" t="s">
        <v>62</v>
      </c>
      <c r="B2" s="2"/>
      <c r="C2" s="2"/>
    </row>
    <row r="3" spans="1:3" ht="18.75">
      <c r="A3" s="2"/>
      <c r="B3" s="2"/>
      <c r="C3" s="2"/>
    </row>
    <row r="4" spans="1:3" ht="18.75">
      <c r="A4" s="2"/>
      <c r="B4" s="2"/>
      <c r="C4" s="2"/>
    </row>
    <row r="5" spans="1:3" ht="18.75">
      <c r="A5" s="2"/>
      <c r="B5" s="2"/>
      <c r="C5" s="2"/>
    </row>
    <row r="6" spans="1:3" ht="18.75">
      <c r="A6" s="2"/>
      <c r="B6" s="2"/>
      <c r="C6" s="2"/>
    </row>
    <row r="7" spans="1:3" ht="18.75">
      <c r="A7" s="2"/>
      <c r="B7" s="2"/>
      <c r="C7" s="2"/>
    </row>
    <row r="8" spans="1:3" ht="18.75">
      <c r="A8" s="2"/>
      <c r="B8" s="2"/>
      <c r="C8" s="2"/>
    </row>
    <row r="9" spans="1:3" ht="18.75">
      <c r="A9" s="2"/>
      <c r="B9" s="2"/>
      <c r="C9" s="2"/>
    </row>
    <row r="10" spans="1:3" ht="18.75">
      <c r="A10" s="2"/>
      <c r="B10" s="2"/>
      <c r="C10" s="2"/>
    </row>
    <row r="11" spans="1:3" ht="18.75">
      <c r="A11" s="2"/>
      <c r="B11" s="2"/>
      <c r="C11" s="2"/>
    </row>
    <row r="12" spans="1:3" ht="18.75">
      <c r="A12" s="2"/>
      <c r="B12" s="2"/>
      <c r="C12" s="2"/>
    </row>
    <row r="13" spans="1:3" ht="18.75">
      <c r="A13" s="2"/>
      <c r="B13" s="2"/>
      <c r="C13" s="2"/>
    </row>
    <row r="14" spans="1:3" ht="18.75">
      <c r="A14" s="2"/>
      <c r="B14" s="2"/>
      <c r="C14" s="2"/>
    </row>
    <row r="15" spans="1:3" ht="18.75">
      <c r="A15" s="2"/>
      <c r="B15" s="2"/>
      <c r="C15" s="2"/>
    </row>
    <row r="16" spans="1:3" ht="18.75">
      <c r="A16" s="2"/>
      <c r="B16" s="2"/>
      <c r="C16" s="2"/>
    </row>
    <row r="17" spans="1:3" ht="18.75">
      <c r="A17" s="2"/>
      <c r="B17" s="2"/>
      <c r="C17" s="2"/>
    </row>
    <row r="18" spans="1:3" ht="18.75">
      <c r="A18" s="2"/>
      <c r="B18" s="2"/>
      <c r="C18" s="2"/>
    </row>
    <row r="19" spans="1:3" ht="18.75">
      <c r="A19" s="2"/>
      <c r="B19" s="2"/>
      <c r="C19" s="2"/>
    </row>
    <row r="20" spans="1:3" ht="18.75">
      <c r="A20" s="2"/>
      <c r="B20" s="2"/>
      <c r="C20" s="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memo</vt:lpstr>
      <vt:lpstr>raw</vt:lpstr>
      <vt:lpstr>dmap</vt:lpstr>
      <vt:lpstr>cmap</vt:lpstr>
      <vt:lpstr>w_a</vt:lpstr>
      <vt:lpstr>w_b</vt:lpstr>
      <vt:lpstr>out</vt:lpstr>
      <vt:lpstr>log</vt:lpstr>
      <vt:lpstr>old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KOBASHI, Nao</dc:creator>
  <cp:lastModifiedBy>KOBASHI, Nao</cp:lastModifiedBy>
  <dcterms:created xsi:type="dcterms:W3CDTF">2026-08-03T07:56:30Z</dcterms:created>
  <dcterms:modified xsi:type="dcterms:W3CDTF">2026-08-07T09:53:28Z</dcterms:modified>
</cp:coreProperties>
</file>